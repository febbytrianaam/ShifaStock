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BF03D4-F4B4-4689-8E92-AE3F8066A1C1}" xr6:coauthVersionLast="47" xr6:coauthVersionMax="47" xr10:uidLastSave="{00000000-0000-0000-0000-000000000000}"/>
  <bookViews>
    <workbookView xWindow="-120" yWindow="-120" windowWidth="21840" windowHeight="13290" activeTab="4" xr2:uid="{00000000-000D-0000-FFFF-FFFF00000000}"/>
  </bookViews>
  <sheets>
    <sheet name="Sheet" sheetId="1" r:id="rId1"/>
    <sheet name="Review Satuan" sheetId="2" r:id="rId2"/>
    <sheet name="Panduan Review" sheetId="3" r:id="rId3"/>
    <sheet name="Pencocokan Laporan WA" sheetId="4" r:id="rId4"/>
    <sheet name="Checklist Klarifikasi" sheetId="5" r:id="rId5"/>
  </sheets>
  <calcPr calcId="181029"/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7" i="3"/>
  <c r="B6" i="3"/>
  <c r="B5" i="3"/>
</calcChain>
</file>

<file path=xl/sharedStrings.xml><?xml version="1.0" encoding="utf-8"?>
<sst xmlns="http://schemas.openxmlformats.org/spreadsheetml/2006/main" count="4152" uniqueCount="931">
  <si>
    <t>Id</t>
  </si>
  <si>
    <t>Nama</t>
  </si>
  <si>
    <t>Keterangan</t>
  </si>
  <si>
    <t>Kategori</t>
  </si>
  <si>
    <t>Racikan?</t>
  </si>
  <si>
    <t>Kemasan Beli</t>
  </si>
  <si>
    <t>Hrg. Beli per Kemasan Beli</t>
  </si>
  <si>
    <t>Satuan Jual</t>
  </si>
  <si>
    <t>Rasio Satuan Jual vs Beli</t>
  </si>
  <si>
    <t>Hrg. Beli per Satuan Jual</t>
  </si>
  <si>
    <t>Hrg. Jual per Satuan Jual</t>
  </si>
  <si>
    <t>Min. Gudang</t>
  </si>
  <si>
    <t>Max. Gudang</t>
  </si>
  <si>
    <t>Min. Apotik</t>
  </si>
  <si>
    <t>Max. Apotik</t>
  </si>
  <si>
    <t>Min. Poli</t>
  </si>
  <si>
    <t>Max. Poli</t>
  </si>
  <si>
    <t>Min. Total</t>
  </si>
  <si>
    <t>Max. Total</t>
  </si>
  <si>
    <t>BPJS?</t>
  </si>
  <si>
    <t>Aktif?</t>
  </si>
  <si>
    <t>Barcode</t>
  </si>
  <si>
    <t>KB3</t>
  </si>
  <si>
    <t>KB 3 BULAN</t>
  </si>
  <si>
    <t>-</t>
  </si>
  <si>
    <t>KERAS BEBAS / BIRU</t>
  </si>
  <si>
    <t>Unchecked</t>
  </si>
  <si>
    <t>Checked</t>
  </si>
  <si>
    <t>RECO 1 TUNAI</t>
  </si>
  <si>
    <t>RECO TETES MATA</t>
  </si>
  <si>
    <t>kloramfenkol</t>
  </si>
  <si>
    <t>KERAS RESEP / MERAH</t>
  </si>
  <si>
    <t>ATROFIN</t>
  </si>
  <si>
    <t>ATROFN SULFAT INJEKSI</t>
  </si>
  <si>
    <t>atrofin sulfat 0,25 mg</t>
  </si>
  <si>
    <t>RACIKAN</t>
  </si>
  <si>
    <t>AMPUL</t>
  </si>
  <si>
    <t>DIPHENHYDRAMIN</t>
  </si>
  <si>
    <t xml:space="preserve">DIPHENHYDRAMIN HCL </t>
  </si>
  <si>
    <t>DIPHEENHYDRAMIN HCL 10 MG/ML INJKSI</t>
  </si>
  <si>
    <t>EPHI</t>
  </si>
  <si>
    <t>EPHINEFRIN NJEKSI</t>
  </si>
  <si>
    <t>Lido9</t>
  </si>
  <si>
    <t>Lidocain</t>
  </si>
  <si>
    <t>lidocain</t>
  </si>
  <si>
    <t>BEBAS / HIJAU</t>
  </si>
  <si>
    <t>Neur101</t>
  </si>
  <si>
    <t>NEUROBION INJEKSI (PASANGAN 2 AMPL)</t>
  </si>
  <si>
    <t>PEHACAIN</t>
  </si>
  <si>
    <t>PEHACAIN INJ 2 %</t>
  </si>
  <si>
    <t>PEHACAIN 2%</t>
  </si>
  <si>
    <t>PRIMPERAN</t>
  </si>
  <si>
    <t>PRIMPERAN INJ</t>
  </si>
  <si>
    <t>metoclopramide 5 mg/ml</t>
  </si>
  <si>
    <t>Rani104</t>
  </si>
  <si>
    <t>Ranitidine Injeksi</t>
  </si>
  <si>
    <t>Vent106</t>
  </si>
  <si>
    <t>VELUTIN NEBULES/MEPROVENT</t>
  </si>
  <si>
    <t>AMBROXOL SYR</t>
  </si>
  <si>
    <t xml:space="preserve">AMBROXOL SYR </t>
  </si>
  <si>
    <t>BOTOL</t>
  </si>
  <si>
    <t>BET</t>
  </si>
  <si>
    <t>BETADIN GARGLE</t>
  </si>
  <si>
    <t>povidon iodin</t>
  </si>
  <si>
    <t>Biso105</t>
  </si>
  <si>
    <t>Bisolvon Nebu</t>
  </si>
  <si>
    <t xml:space="preserve"> bromhexine 4 mg, pct, ctm, phenylephrine HCl</t>
  </si>
  <si>
    <t>Cavi49</t>
  </si>
  <si>
    <t>Caviplex Syr</t>
  </si>
  <si>
    <t>Vitamin A 4000 IU, Nicotinamide 20 mg, Vitamin D 400 IU, Fluoride (NaF) 0,5 mg, Vitamin B1 2 mg, Iodine (KI) 0,15 mg, Vitamin B2 4 mg, Ca-Pantothenate 5 mg, Vitamin B6 3 mg, Folic Acid 1 mg, Vitamin B12 12 mcg, Glutamic Acid 50 mg, Vitamin C 75 mg, Zinc (Z</t>
  </si>
  <si>
    <t>FASIDOL FORTE</t>
  </si>
  <si>
    <t xml:space="preserve">FASIDOL FORTE SIRUP </t>
  </si>
  <si>
    <t>pct 160 mg</t>
  </si>
  <si>
    <t>FASIDOL</t>
  </si>
  <si>
    <t>FASIDOL/ANALPIM SIRUP</t>
  </si>
  <si>
    <t>paracetamol 120 mg</t>
  </si>
  <si>
    <t>Gast56</t>
  </si>
  <si>
    <t>Gastrucid Syr</t>
  </si>
  <si>
    <t>aluminium hydrovide, magnesium hydroxide simethicone</t>
  </si>
  <si>
    <t>GOM</t>
  </si>
  <si>
    <t>GOM TETES</t>
  </si>
  <si>
    <t>Borax glycerin 10%</t>
  </si>
  <si>
    <t>Guan58</t>
  </si>
  <si>
    <t xml:space="preserve">GUANISTREP SYR </t>
  </si>
  <si>
    <t>kaolin , pectin</t>
  </si>
  <si>
    <t>HANDSANITIZER 5L</t>
  </si>
  <si>
    <t>ALKOHOL</t>
  </si>
  <si>
    <t>HELIXIM</t>
  </si>
  <si>
    <t>HELIXIM SYRUP</t>
  </si>
  <si>
    <t>CEFIXIME 100MG</t>
  </si>
  <si>
    <t>Hufa62</t>
  </si>
  <si>
    <t xml:space="preserve">HUFADONE SYR </t>
  </si>
  <si>
    <t>Domperidone</t>
  </si>
  <si>
    <t>Hufa63</t>
  </si>
  <si>
    <t>Hufanoxyl Syr</t>
  </si>
  <si>
    <t>amoxicillin</t>
  </si>
  <si>
    <t>Lost53</t>
  </si>
  <si>
    <t>Lostacef Syrup</t>
  </si>
  <si>
    <t>cefadroxil</t>
  </si>
  <si>
    <t>NYSTATIN DROP</t>
  </si>
  <si>
    <t>NYSTATIN DROP (CAZETIN)</t>
  </si>
  <si>
    <t>Nystatin</t>
  </si>
  <si>
    <t>Otto72</t>
  </si>
  <si>
    <t>Ottoprim Syr</t>
  </si>
  <si>
    <t>Trimetoprim 160 mg,Sulfametoksazole 800 mg</t>
  </si>
  <si>
    <t>PARACETAMOL</t>
  </si>
  <si>
    <t xml:space="preserve">PARACETAMOL SYR </t>
  </si>
  <si>
    <t>pct 120 mg</t>
  </si>
  <si>
    <t>PARACETIN</t>
  </si>
  <si>
    <t>dextromethorpan,penyleprin</t>
  </si>
  <si>
    <t>PULPERIL</t>
  </si>
  <si>
    <t>PULPEVIT</t>
  </si>
  <si>
    <t>lydocaine hydrocloride chlorophenol, cresol</t>
  </si>
  <si>
    <t>ROVERTON</t>
  </si>
  <si>
    <t>ROVERTON SYR</t>
  </si>
  <si>
    <t>Ambroxol</t>
  </si>
  <si>
    <t xml:space="preserve">ZINK SIRUP </t>
  </si>
  <si>
    <t>ZINK SIRUP 20 MG</t>
  </si>
  <si>
    <t>zink sulfida</t>
  </si>
  <si>
    <t>ACY</t>
  </si>
  <si>
    <t>ACYCLOVIR 400 MG</t>
  </si>
  <si>
    <t>acyclovir</t>
  </si>
  <si>
    <t>BOX</t>
  </si>
  <si>
    <t>RUJUK</t>
  </si>
  <si>
    <t>RUJUKAN</t>
  </si>
  <si>
    <t>rujukan</t>
  </si>
  <si>
    <t>ORA1</t>
  </si>
  <si>
    <t>ORALIT</t>
  </si>
  <si>
    <t>sodium cloride,pottasium cloride,trisodium citrate,dextrose anhydrate</t>
  </si>
  <si>
    <t>BUNGKUS</t>
  </si>
  <si>
    <t>Aboc13</t>
  </si>
  <si>
    <t>Abocath No. 18</t>
  </si>
  <si>
    <t>Butir</t>
  </si>
  <si>
    <t>Aboc14</t>
  </si>
  <si>
    <t>Abocath No. 20</t>
  </si>
  <si>
    <t>Alop45</t>
  </si>
  <si>
    <t>ALOPAR 300  MG</t>
  </si>
  <si>
    <t>allopurinol</t>
  </si>
  <si>
    <t>Alpa46</t>
  </si>
  <si>
    <t xml:space="preserve">ALPARA </t>
  </si>
  <si>
    <t>paracetamol,phenylpropanolamine hcl, ctm, dextromethorphan hbr</t>
  </si>
  <si>
    <t>Amlo82</t>
  </si>
  <si>
    <t xml:space="preserve">AMLODIPIN 10 MG </t>
  </si>
  <si>
    <t>amlodipin 10 mg</t>
  </si>
  <si>
    <t>Amox32</t>
  </si>
  <si>
    <t>AMOXICILLIN</t>
  </si>
  <si>
    <t>Anel2</t>
  </si>
  <si>
    <t>Anelat</t>
  </si>
  <si>
    <t xml:space="preserve">suplemen </t>
  </si>
  <si>
    <t>Anta27</t>
  </si>
  <si>
    <t>ANTASIDA</t>
  </si>
  <si>
    <t>antasida doen</t>
  </si>
  <si>
    <t>Asam21</t>
  </si>
  <si>
    <t xml:space="preserve">ASAM MEFENAMAT </t>
  </si>
  <si>
    <t>asam mefenamat</t>
  </si>
  <si>
    <t>Asam20</t>
  </si>
  <si>
    <t>ASAM TRANEXAMAT</t>
  </si>
  <si>
    <t>asam tranexamat</t>
  </si>
  <si>
    <t>Beta83</t>
  </si>
  <si>
    <t>BETAHISTIN/SAMCOHISTN</t>
  </si>
  <si>
    <t>betahistin</t>
  </si>
  <si>
    <t>Bima48</t>
  </si>
  <si>
    <t xml:space="preserve">BIMAFLOX </t>
  </si>
  <si>
    <t>ciprofloxacin</t>
  </si>
  <si>
    <t>Catg29</t>
  </si>
  <si>
    <t>Catgut Chromic</t>
  </si>
  <si>
    <t>Cipr96</t>
  </si>
  <si>
    <t xml:space="preserve">CIPROFLOXACIN </t>
  </si>
  <si>
    <t xml:space="preserve">ciprofloxacin </t>
  </si>
  <si>
    <t>CTM 84</t>
  </si>
  <si>
    <t xml:space="preserve">CTM TAB </t>
  </si>
  <si>
    <t>chlorphenamine maleat</t>
  </si>
  <si>
    <t>Dexa100</t>
  </si>
  <si>
    <t>Dexa Injeksi</t>
  </si>
  <si>
    <t>dexamethasone</t>
  </si>
  <si>
    <t>DIAFORM</t>
  </si>
  <si>
    <t>DIAFORM/OMEGDIAR</t>
  </si>
  <si>
    <t>kaolin,pectin</t>
  </si>
  <si>
    <t>Etab1</t>
  </si>
  <si>
    <t xml:space="preserve">ETABION </t>
  </si>
  <si>
    <t>suplemen darah</t>
  </si>
  <si>
    <t>Furo86</t>
  </si>
  <si>
    <t>Furosemid</t>
  </si>
  <si>
    <t>furosemide</t>
  </si>
  <si>
    <t>Hand35</t>
  </si>
  <si>
    <t>Handscoon/ pasang</t>
  </si>
  <si>
    <t>Hist59</t>
  </si>
  <si>
    <t>Histigo</t>
  </si>
  <si>
    <t>Hufa60</t>
  </si>
  <si>
    <t>Hufadine</t>
  </si>
  <si>
    <t>ranitidine hcl</t>
  </si>
  <si>
    <t>Hufa39</t>
  </si>
  <si>
    <t>HUFADON TABLET</t>
  </si>
  <si>
    <t>Inam64</t>
  </si>
  <si>
    <t>Inamid</t>
  </si>
  <si>
    <t>loperamide</t>
  </si>
  <si>
    <t>Infu12</t>
  </si>
  <si>
    <t>Infus Set</t>
  </si>
  <si>
    <t>Inj 7</t>
  </si>
  <si>
    <t>Inj Cyclo</t>
  </si>
  <si>
    <t>Inj 6</t>
  </si>
  <si>
    <t>Inj Depo</t>
  </si>
  <si>
    <t>Inj 8</t>
  </si>
  <si>
    <t>Inj Vit K</t>
  </si>
  <si>
    <t>ISDN87</t>
  </si>
  <si>
    <t>ISDN</t>
  </si>
  <si>
    <t>isosobrid dinitrat</t>
  </si>
  <si>
    <t>Keto98</t>
  </si>
  <si>
    <t>Ketokonazole Tab</t>
  </si>
  <si>
    <t>ketokonazole</t>
  </si>
  <si>
    <t>Nead38</t>
  </si>
  <si>
    <t>Neadle 23</t>
  </si>
  <si>
    <t>Neph68</t>
  </si>
  <si>
    <t>Nephrolit</t>
  </si>
  <si>
    <t>Esktrak folium orthosiphon stamineus 18 mg, ekstrak folium srtobilanthus crispus 6 mg, ekstrak folium sonchus arvensis 24 mg, eksrtrak folium phyllanthus niruri 2,4 mg, vit B6 5 mg, folic acid 200 mcg</t>
  </si>
  <si>
    <t>Otto71</t>
  </si>
  <si>
    <t>Ottoprim Forte</t>
  </si>
  <si>
    <t>Papa90</t>
  </si>
  <si>
    <t>PAPAVERIN</t>
  </si>
  <si>
    <t>papaverin hcl</t>
  </si>
  <si>
    <t>Pct 19</t>
  </si>
  <si>
    <t>PCT</t>
  </si>
  <si>
    <t>paracetamol</t>
  </si>
  <si>
    <t>Pil 34</t>
  </si>
  <si>
    <t>Pil KB Microgynon</t>
  </si>
  <si>
    <t>Prim102</t>
  </si>
  <si>
    <t>Primperan Ijenksi</t>
  </si>
  <si>
    <t>Rani92</t>
  </si>
  <si>
    <t>Ranitidine</t>
  </si>
  <si>
    <t>ranitidine</t>
  </si>
  <si>
    <t>Rema73</t>
  </si>
  <si>
    <t xml:space="preserve">REMAFAR </t>
  </si>
  <si>
    <t>metylprednisolone</t>
  </si>
  <si>
    <t>RL11</t>
  </si>
  <si>
    <t>RL</t>
  </si>
  <si>
    <t>Salb93</t>
  </si>
  <si>
    <t>Salbutamol 4 mg</t>
  </si>
  <si>
    <t>salbutamol</t>
  </si>
  <si>
    <t>Spui37</t>
  </si>
  <si>
    <t>Spuit 1cc</t>
  </si>
  <si>
    <t>Sutu31</t>
  </si>
  <si>
    <t>Suture Needle Hecting</t>
  </si>
  <si>
    <t>Test23</t>
  </si>
  <si>
    <t>Test Pack</t>
  </si>
  <si>
    <t>Trim4</t>
  </si>
  <si>
    <t>Trimakal</t>
  </si>
  <si>
    <t>Kalsium</t>
  </si>
  <si>
    <t>Trom76</t>
  </si>
  <si>
    <t>Tromilin</t>
  </si>
  <si>
    <t>Erythromycin</t>
  </si>
  <si>
    <t>Umbi30</t>
  </si>
  <si>
    <t>Umbilical Cord Clamps</t>
  </si>
  <si>
    <t>Unde40</t>
  </si>
  <si>
    <t>Underpad</t>
  </si>
  <si>
    <t>VIT B</t>
  </si>
  <si>
    <t>VIT B COMP</t>
  </si>
  <si>
    <t>vitamin b compleks</t>
  </si>
  <si>
    <t>Yusi22</t>
  </si>
  <si>
    <t>YUSIMOX/ETAMOX</t>
  </si>
  <si>
    <t>Amoxicillin</t>
  </si>
  <si>
    <t>KET</t>
  </si>
  <si>
    <t xml:space="preserve"> KETOKONAZOLE/SOLINFEC</t>
  </si>
  <si>
    <t>ketokonazole tab</t>
  </si>
  <si>
    <t>BUTIR</t>
  </si>
  <si>
    <t>ACI</t>
  </si>
  <si>
    <t>ACIFAR (ACYCLOVIR) 200 MG</t>
  </si>
  <si>
    <t>ALL</t>
  </si>
  <si>
    <t>ALLERON TAB</t>
  </si>
  <si>
    <t>cholrphenamine maleat</t>
  </si>
  <si>
    <t>ALLOPURNOL BPJS</t>
  </si>
  <si>
    <t>ALLOPURINOL 100 MG</t>
  </si>
  <si>
    <t>allopurinol 100 mg</t>
  </si>
  <si>
    <t>ALOFAR</t>
  </si>
  <si>
    <t>ALOFAR 100 MG</t>
  </si>
  <si>
    <t>AMBE</t>
  </si>
  <si>
    <t>AMBEVEN</t>
  </si>
  <si>
    <t>ekstrak curcuma</t>
  </si>
  <si>
    <t>AMBR77</t>
  </si>
  <si>
    <t>AMBROXOL TAB</t>
  </si>
  <si>
    <t>ambroxol</t>
  </si>
  <si>
    <t>AMLODIPINE</t>
  </si>
  <si>
    <t>AMLODIPINE 5 MG</t>
  </si>
  <si>
    <t>ANAL</t>
  </si>
  <si>
    <t>ANALPIM \ GRAFADON TAB</t>
  </si>
  <si>
    <t>paracetamol 500 mg</t>
  </si>
  <si>
    <t>ARKAVIT/CELCOM</t>
  </si>
  <si>
    <t>ARKAVIT-C / MAXIVON-C</t>
  </si>
  <si>
    <t>vitamin c</t>
  </si>
  <si>
    <t>BISOOO</t>
  </si>
  <si>
    <t>BISOPROLOL 5 MG</t>
  </si>
  <si>
    <t>BISOPROLOL</t>
  </si>
  <si>
    <t>CAP 12,5</t>
  </si>
  <si>
    <t>CAPTOPRIL 12,5</t>
  </si>
  <si>
    <t>captopril 12,5</t>
  </si>
  <si>
    <t>CAP 25</t>
  </si>
  <si>
    <t>CAPTOPRIL 25</t>
  </si>
  <si>
    <t>captopril 25</t>
  </si>
  <si>
    <t>CATAFLAM</t>
  </si>
  <si>
    <t>CATAFLAM PS.UMUM</t>
  </si>
  <si>
    <t>Diclofenac postassium</t>
  </si>
  <si>
    <t>CEF</t>
  </si>
  <si>
    <t xml:space="preserve">CEFADROXIL </t>
  </si>
  <si>
    <t>cefadroxil 500 mg</t>
  </si>
  <si>
    <t>LOSTACEF</t>
  </si>
  <si>
    <t xml:space="preserve">CEFADROXIL(LOSTACEF) 500 MG </t>
  </si>
  <si>
    <t>CETI89</t>
  </si>
  <si>
    <t>CETIRIZINE</t>
  </si>
  <si>
    <t>cetirizine</t>
  </si>
  <si>
    <t>DANA</t>
  </si>
  <si>
    <t>DANASONE 0,5 MG</t>
  </si>
  <si>
    <t>dexa 0,5 mg</t>
  </si>
  <si>
    <t>DANEURON</t>
  </si>
  <si>
    <t>DEMA3</t>
  </si>
  <si>
    <t xml:space="preserve">DEMACOLIN / MOLEXFLU </t>
  </si>
  <si>
    <t>paracetamol,pseudoephedrin hcl, ctm</t>
  </si>
  <si>
    <t>dexa</t>
  </si>
  <si>
    <t xml:space="preserve">DEXAMETHASON 0,5 MG </t>
  </si>
  <si>
    <t>DEXTRAL</t>
  </si>
  <si>
    <t xml:space="preserve">DEXTRAL 150"S </t>
  </si>
  <si>
    <t>dextrometropan hcl</t>
  </si>
  <si>
    <t>DOM</t>
  </si>
  <si>
    <t>DOMPERIDON</t>
  </si>
  <si>
    <t>domperidone</t>
  </si>
  <si>
    <t>DULCOLAX</t>
  </si>
  <si>
    <t>DULCOLAC 5MG</t>
  </si>
  <si>
    <t>bisacodyl</t>
  </si>
  <si>
    <t>EPER10</t>
  </si>
  <si>
    <t xml:space="preserve">EPERISON </t>
  </si>
  <si>
    <t>eperison</t>
  </si>
  <si>
    <t>ER</t>
  </si>
  <si>
    <t>ERPHAFLAM</t>
  </si>
  <si>
    <t>Natrium Diclofenaac</t>
  </si>
  <si>
    <t>ERVASK10</t>
  </si>
  <si>
    <t>ERVASK (AMLODIPIN) 10 MG</t>
  </si>
  <si>
    <t>ERVASK</t>
  </si>
  <si>
    <t>ERVASK (AMLODIPIN) 5 MG</t>
  </si>
  <si>
    <t>amlodipin 5 mg</t>
  </si>
  <si>
    <t>FARSIFEN</t>
  </si>
  <si>
    <t xml:space="preserve">FARSIFEN 400MG </t>
  </si>
  <si>
    <t>ibuprofen</t>
  </si>
  <si>
    <t>FENOFIBRAT</t>
  </si>
  <si>
    <t xml:space="preserve">FENOFIBRAT 100 MG </t>
  </si>
  <si>
    <t>fenofuibrat 100 mg</t>
  </si>
  <si>
    <t>FLUNARIZINE</t>
  </si>
  <si>
    <t>FLUNARIZINE / CINNARIZINE</t>
  </si>
  <si>
    <t>GG</t>
  </si>
  <si>
    <t>GG GENERIK</t>
  </si>
  <si>
    <t>gg</t>
  </si>
  <si>
    <t>GLIMEPIRIDE 2 MG</t>
  </si>
  <si>
    <t>GRAFAMIC</t>
  </si>
  <si>
    <t>ASAM MEFENAMAT</t>
  </si>
  <si>
    <t>HLXT</t>
  </si>
  <si>
    <t>HELIXIM TABLET 100</t>
  </si>
  <si>
    <t>cefiximet hydrate</t>
  </si>
  <si>
    <t>HUF</t>
  </si>
  <si>
    <t>HUFAGRIF FORTE TAB</t>
  </si>
  <si>
    <t>pct,ctm,efedrin</t>
  </si>
  <si>
    <t>IBU21</t>
  </si>
  <si>
    <t xml:space="preserve">IBUPROFEN </t>
  </si>
  <si>
    <t>Kalk15</t>
  </si>
  <si>
    <t xml:space="preserve">KALK </t>
  </si>
  <si>
    <t>kalsium</t>
  </si>
  <si>
    <t xml:space="preserve">PILL </t>
  </si>
  <si>
    <t>KB ANDALAN</t>
  </si>
  <si>
    <t>LER</t>
  </si>
  <si>
    <t>LERZIN</t>
  </si>
  <si>
    <t>LOKEV</t>
  </si>
  <si>
    <t>omeprazole</t>
  </si>
  <si>
    <t>LOR</t>
  </si>
  <si>
    <t>LORATADINE</t>
  </si>
  <si>
    <t>loratadine</t>
  </si>
  <si>
    <t>Metf88</t>
  </si>
  <si>
    <t>Metformin 500 mg</t>
  </si>
  <si>
    <t>metformin 500 mg</t>
  </si>
  <si>
    <t>METRO001</t>
  </si>
  <si>
    <t>METRONIDAZOLE</t>
  </si>
  <si>
    <t>metronidazole</t>
  </si>
  <si>
    <t>Mira18</t>
  </si>
  <si>
    <t>Mirasic</t>
  </si>
  <si>
    <t>Paracetamol</t>
  </si>
  <si>
    <t>MOLA1</t>
  </si>
  <si>
    <t>MOLAGIT / PULAREX</t>
  </si>
  <si>
    <t>attapulgit, pectin</t>
  </si>
  <si>
    <t xml:space="preserve">OMEPRAZOLE </t>
  </si>
  <si>
    <t>OMEPRAZOLE</t>
  </si>
  <si>
    <t>omz</t>
  </si>
  <si>
    <t>ONDANSETRON 4 MG</t>
  </si>
  <si>
    <t>SACARIN</t>
  </si>
  <si>
    <t>LAKTOSA</t>
  </si>
  <si>
    <t>SAL2</t>
  </si>
  <si>
    <t>SALBUTAMOL 2 MG</t>
  </si>
  <si>
    <t>salbutamol 2 mg</t>
  </si>
  <si>
    <t>SAM</t>
  </si>
  <si>
    <t>SAMTAFLAM</t>
  </si>
  <si>
    <t>kalium diklofenak</t>
  </si>
  <si>
    <t>SCOPMAPLUS</t>
  </si>
  <si>
    <t>Hyoscine-N-butylbromide 10 mg, Paracetamol 500 mg</t>
  </si>
  <si>
    <t>SEL</t>
  </si>
  <si>
    <t>SELVIM 10 MG</t>
  </si>
  <si>
    <t xml:space="preserve">Simvastatain 20 mg </t>
  </si>
  <si>
    <t>SIMVASTATIN</t>
  </si>
  <si>
    <t>SIMVASTATIN 10 MG</t>
  </si>
  <si>
    <t>simvastatin</t>
  </si>
  <si>
    <t>SIM</t>
  </si>
  <si>
    <t>SIMVASTATIN 20 MG</t>
  </si>
  <si>
    <t>simvastatin 20 mg</t>
  </si>
  <si>
    <t>TABLET</t>
  </si>
  <si>
    <t>TABLET TAMBAH DARAH</t>
  </si>
  <si>
    <t>zat besi dan asam folat</t>
  </si>
  <si>
    <t>UR</t>
  </si>
  <si>
    <t>URSODEOXYCHOLIC ACID</t>
  </si>
  <si>
    <t>asam ursodeoksilat</t>
  </si>
  <si>
    <t>Vit 16</t>
  </si>
  <si>
    <t xml:space="preserve">VIT C </t>
  </si>
  <si>
    <t>VIT D3</t>
  </si>
  <si>
    <t>VITAMIN D3</t>
  </si>
  <si>
    <t>kolecalciferol</t>
  </si>
  <si>
    <t>VIT  K</t>
  </si>
  <si>
    <t>VITAMIN K</t>
  </si>
  <si>
    <t>VOLTA001</t>
  </si>
  <si>
    <t>VOLTADEX</t>
  </si>
  <si>
    <t>diclofenac sodium</t>
  </si>
  <si>
    <t>Zink79</t>
  </si>
  <si>
    <t xml:space="preserve">ZINK </t>
  </si>
  <si>
    <t>zinc sulfate</t>
  </si>
  <si>
    <t>CLINDAMYCIN</t>
  </si>
  <si>
    <t>-BUTIR</t>
  </si>
  <si>
    <t>PIROX1</t>
  </si>
  <si>
    <t>PIROXICAM</t>
  </si>
  <si>
    <t>piroxicam</t>
  </si>
  <si>
    <t>CAVI</t>
  </si>
  <si>
    <t>CAVIPLEX CAP</t>
  </si>
  <si>
    <t>vtamn B1,B6,B12</t>
  </si>
  <si>
    <t>CAPSUL</t>
  </si>
  <si>
    <t>CEFIXIM 200 MG</t>
  </si>
  <si>
    <t>CEFIXIM 200 MG CAP</t>
  </si>
  <si>
    <t xml:space="preserve">cefixim 200 mg </t>
  </si>
  <si>
    <t>KB PIL</t>
  </si>
  <si>
    <t>KB PIL (BKKBN)</t>
  </si>
  <si>
    <t>hormon sintetis, yaitu estrogen dan progestin</t>
  </si>
  <si>
    <t>CYCLES</t>
  </si>
  <si>
    <t>PANTOCAIN</t>
  </si>
  <si>
    <t>PANTOCAIN TETES MATA</t>
  </si>
  <si>
    <t>pantocain 2%</t>
  </si>
  <si>
    <t>FLS</t>
  </si>
  <si>
    <t>ROV</t>
  </si>
  <si>
    <t>ROVERTON TAB</t>
  </si>
  <si>
    <t>KAPLET</t>
  </si>
  <si>
    <t>CEFI 100</t>
  </si>
  <si>
    <t>CEFIIXIME 100</t>
  </si>
  <si>
    <t>cefixime trihyidrat 100mg</t>
  </si>
  <si>
    <t>KAPSUL</t>
  </si>
  <si>
    <t>ALKOHOL SWAB</t>
  </si>
  <si>
    <t>ALKOHOL SWAB SENSI</t>
  </si>
  <si>
    <t>PCS</t>
  </si>
  <si>
    <t>KB KONDOM</t>
  </si>
  <si>
    <t>KB KONDOM (BKKBN)</t>
  </si>
  <si>
    <t>KLIP PLASTIK KECIL</t>
  </si>
  <si>
    <t>plastik</t>
  </si>
  <si>
    <t>KLIP SEDANG</t>
  </si>
  <si>
    <t>SAR</t>
  </si>
  <si>
    <t>SARUNG TANGAN S</t>
  </si>
  <si>
    <t>SPUIT 3 CC</t>
  </si>
  <si>
    <t>SPUIT 3 CC (BKKBN)</t>
  </si>
  <si>
    <t>Spui36</t>
  </si>
  <si>
    <t>Spuit 3cc</t>
  </si>
  <si>
    <t>SALEP24</t>
  </si>
  <si>
    <t>SALEP 2-4</t>
  </si>
  <si>
    <t>Sulfur PP 40 mg, As. Salisilat 20 mg</t>
  </si>
  <si>
    <t>POT</t>
  </si>
  <si>
    <t>Pil 5</t>
  </si>
  <si>
    <t>Pil KB Andalan</t>
  </si>
  <si>
    <t>Strip</t>
  </si>
  <si>
    <t>PRORRIS SUP</t>
  </si>
  <si>
    <t>PRORRIS SUPPOSITORIA</t>
  </si>
  <si>
    <t>SUPP</t>
  </si>
  <si>
    <t>KETO</t>
  </si>
  <si>
    <t>KETOPROFEN SUPP</t>
  </si>
  <si>
    <t>KETOPRPFEN 100MG SUPP</t>
  </si>
  <si>
    <t>SUPPO</t>
  </si>
  <si>
    <t>Acyc81</t>
  </si>
  <si>
    <t>ACYCLOVIR SALEP</t>
  </si>
  <si>
    <t>acylovir salp</t>
  </si>
  <si>
    <t>TUBE</t>
  </si>
  <si>
    <t>Acyf44</t>
  </si>
  <si>
    <t>ACYFAR ZALF/LACYVAR</t>
  </si>
  <si>
    <t>acylovir</t>
  </si>
  <si>
    <t>BETA001</t>
  </si>
  <si>
    <t>BETAMETASON SALEP</t>
  </si>
  <si>
    <t>betametason</t>
  </si>
  <si>
    <t>BETA</t>
  </si>
  <si>
    <t>BETASON N</t>
  </si>
  <si>
    <t>Betamethason,Niamicyn sulfat</t>
  </si>
  <si>
    <t>BIO</t>
  </si>
  <si>
    <t>BIOPLACENTON</t>
  </si>
  <si>
    <t>plasenta ekstrak,neomycn sulfate</t>
  </si>
  <si>
    <t>ERLA 1 BPJS</t>
  </si>
  <si>
    <t>ERLAMYCETIN SALEP  MATA</t>
  </si>
  <si>
    <t>chloramphenicol base , dexamethasone sodium phosphate.</t>
  </si>
  <si>
    <t>ERLA 2 BPJS</t>
  </si>
  <si>
    <t>ERLAMYCETIN TETES MATA</t>
  </si>
  <si>
    <t>ERLA 3 BPJS</t>
  </si>
  <si>
    <t>ERLAMYCETIN TETES TELINGA</t>
  </si>
  <si>
    <t>gen</t>
  </si>
  <si>
    <t>GENALTEN CREAM</t>
  </si>
  <si>
    <t>gentamicin</t>
  </si>
  <si>
    <t>GENTA1</t>
  </si>
  <si>
    <t xml:space="preserve">GENTAMICIN SALEP </t>
  </si>
  <si>
    <t>Rongent</t>
  </si>
  <si>
    <t>KETOKO</t>
  </si>
  <si>
    <t>KETOKONAZOLE CR</t>
  </si>
  <si>
    <t>MICONAZOLE (MOLADERM) CR</t>
  </si>
  <si>
    <t>MIKO12</t>
  </si>
  <si>
    <t>MICONAZOLE CR</t>
  </si>
  <si>
    <t>PERMETHRIN</t>
  </si>
  <si>
    <t>PERMETHRIN SALEP</t>
  </si>
  <si>
    <t>permethrin 5%</t>
  </si>
  <si>
    <t>RECO 3 TUNAI</t>
  </si>
  <si>
    <t>RECO SALEP MATA</t>
  </si>
  <si>
    <t>kloramfenikol</t>
  </si>
  <si>
    <t>RECO 2 TUNAI</t>
  </si>
  <si>
    <t>RECO TETES TELINGA</t>
  </si>
  <si>
    <t>koramfenikol</t>
  </si>
  <si>
    <t>SCA</t>
  </si>
  <si>
    <t>SCABIMITE 10 GR</t>
  </si>
  <si>
    <t>permethrin</t>
  </si>
  <si>
    <t>THROMBOPHOB</t>
  </si>
  <si>
    <t>THROMBOPHOB GEL</t>
  </si>
  <si>
    <t>heparin sodium</t>
  </si>
  <si>
    <t>Busc103</t>
  </si>
  <si>
    <t>Buscopan Injeksi</t>
  </si>
  <si>
    <t>Hyoscine-N-butylbromide 10 mg dan Paracetamol 500 mg</t>
  </si>
  <si>
    <t>VIAL</t>
  </si>
  <si>
    <t>Kana99</t>
  </si>
  <si>
    <t>Kanamycin Injeksi</t>
  </si>
  <si>
    <t>Kanamycin monosulfate 250 mg</t>
  </si>
  <si>
    <t>KB1</t>
  </si>
  <si>
    <t>KB 1 BULAN</t>
  </si>
  <si>
    <t>KB2</t>
  </si>
  <si>
    <t>KB 2 BULAN</t>
  </si>
  <si>
    <t>kb 2 bulan</t>
  </si>
  <si>
    <t>REVIEW MASTER SATUAN OBAT • KLINIK SHIFA MEDIKA</t>
  </si>
  <si>
    <t>Sumber: obat.xlsx | Data asli dipertahankan pada sheet 'Sheet' | Usulan belum final sampai diverifikasi Klinik/Rival</t>
  </si>
  <si>
    <t>DATA ASLI / REFERENSI</t>
  </si>
  <si>
    <t>USULAN SISTEM • LATAR KUNING</t>
  </si>
  <si>
    <t>DIISI RIVAL • LATAR BIRU</t>
  </si>
  <si>
    <t>TEMUAN LAPORAN WHATSAPP • USULAN / CATATAN BARU</t>
  </si>
  <si>
    <t>DIISI RIVAL SETELAH KONFIRMASI • BIRU</t>
  </si>
  <si>
    <t>No</t>
  </si>
  <si>
    <t>ID Produk</t>
  </si>
  <si>
    <t>Nama Produk</t>
  </si>
  <si>
    <t>Keterangan Sumber</t>
  </si>
  <si>
    <t>Kemasan Beli Asli</t>
  </si>
  <si>
    <t>Rasio Asli</t>
  </si>
  <si>
    <t>Satuan Beli Usulan</t>
  </si>
  <si>
    <t>Satuan Stok Usulan</t>
  </si>
  <si>
    <t>Satuan Keluar Usulan</t>
  </si>
  <si>
    <t>Konversi Beli ke Stok</t>
  </si>
  <si>
    <t>Bentuk Sediaan</t>
  </si>
  <si>
    <t>Kelompok Item</t>
  </si>
  <si>
    <t>Status Verifikasi</t>
  </si>
  <si>
    <t>Catatan / Pertanyaan untuk Klinik</t>
  </si>
  <si>
    <t>Keputusan Review Rival</t>
  </si>
  <si>
    <t>Satuan Beli Final</t>
  </si>
  <si>
    <t>Satuan Stok Final</t>
  </si>
  <si>
    <t>Konversi Final</t>
  </si>
  <si>
    <t>Catatan Rival</t>
  </si>
  <si>
    <t>Ada di WA</t>
  </si>
  <si>
    <t>Nama di WA</t>
  </si>
  <si>
    <t>Jumlah WA</t>
  </si>
  <si>
    <t>Unit WA</t>
  </si>
  <si>
    <t>Status pencocokan</t>
  </si>
  <si>
    <t>Temuan dari laporan WA</t>
  </si>
  <si>
    <t>Hal yang wajib dikonfirmasi</t>
  </si>
  <si>
    <t>Isi 1 box (unit stok)</t>
  </si>
  <si>
    <t>Isi 1 strip (unit stok)</t>
  </si>
  <si>
    <t>Lokasi yang dilaporkan</t>
  </si>
  <si>
    <t>Bukti / jawaban Rival</t>
  </si>
  <si>
    <t>Keputusan mapping</t>
  </si>
  <si>
    <t>Belum pasti</t>
  </si>
  <si>
    <t>Kontrasepsi</t>
  </si>
  <si>
    <t>KB</t>
  </si>
  <si>
    <t>Perlu konfirmasi</t>
  </si>
  <si>
    <t>Nama KB 3 bulan tidak menjelaskan bentuk/kemasan produk. Konfirmasi ampul/vial, satuan stok, dan isi kemasan. Konversi belum ditetapkan; isi setelah klinik memastikan isi kemasan.</t>
  </si>
  <si>
    <t>Belum direview</t>
  </si>
  <si>
    <t>Botol</t>
  </si>
  <si>
    <t>Tetes mata</t>
  </si>
  <si>
    <t>Obat</t>
  </si>
  <si>
    <t>Nama tetes mata mengarah ke botol, tetapi satuan beli sumber '-'. Pastikan kemasan aktual.</t>
  </si>
  <si>
    <t>Ampul</t>
  </si>
  <si>
    <t>Injeksi</t>
  </si>
  <si>
    <t>Rasio sumber = 0; tidak digunakan sebagai angka konversi.</t>
  </si>
  <si>
    <t>DIPHENHYDRAMIN HCL</t>
  </si>
  <si>
    <t>Review usulan</t>
  </si>
  <si>
    <t>Pasang</t>
  </si>
  <si>
    <t>Injeksi kombinasi</t>
  </si>
  <si>
    <t>Nama produk menyebut pasangan 2 ampul; pastikan pembelian dan pengeluaran dihitung per pasang atau per ampul. Konversi belum ditetapkan; isi setelah klinik memastikan isi kemasan.</t>
  </si>
  <si>
    <t>Nebule</t>
  </si>
  <si>
    <t>Larutan nebulisasi</t>
  </si>
  <si>
    <t>Nama mengindikasikan nebule, sedangkan data sumber AMPUL. Pastikan unit di kemasan.</t>
  </si>
  <si>
    <t>Sirup/Larutan</t>
  </si>
  <si>
    <t>bromhexine 4 mg, pct, ctm, phenylephrine HCl</t>
  </si>
  <si>
    <t>Bisolvon Nebu tercatat BOTOL; verifikasi apakah kemasan benar botol atau nebule/ampul. Konversi belum ditetapkan; isi setelah klinik memastikan isi kemasan.</t>
  </si>
  <si>
    <t>FASIDOL FORTE SIRUP</t>
  </si>
  <si>
    <t>Kandidat / bukan match</t>
  </si>
  <si>
    <t>Produk FASIDOL/ANALPIM SIRUP adalah kandidat lain untuk nama WA 'Analpim'; jangan anggap laporan 1 box sebagai sirup sebelum konfirmasi.</t>
  </si>
  <si>
    <t>Tanyakan kepada petugas apakah nama dagang, kekuatan dan kemasan memang sama; bila tidak, pisahkan SKU.</t>
  </si>
  <si>
    <t>GUANISTREP SYR</t>
  </si>
  <si>
    <t>HUFADONE SYR</t>
  </si>
  <si>
    <t>Ya - daftar terbatas</t>
  </si>
  <si>
    <t>fls</t>
  </si>
  <si>
    <t>Nama cocok; istilah belum jelas</t>
  </si>
  <si>
    <t>Master Hufanoxyl Syr menggunakan BOTOL dan usulan stok Botol. 'fls' bisa istilah kemasan internal; tidak otomatis disamakan botol/flakon.</t>
  </si>
  <si>
    <t>Tanyakan singkatan fls, 1 fls setara berapa botol atau volume, ukuran mL dan apakah stok 5 kemasan utuh.</t>
  </si>
  <si>
    <t>PARACETAMOL SYR</t>
  </si>
  <si>
    <t>Belum diketahui</t>
  </si>
  <si>
    <t>Nama PARACETIN belum menjelaskan bentuk sediaan; konfirmasi dari label kemasan. Konversi belum ditetapkan; isi setelah klinik memastikan isi kemasan.</t>
  </si>
  <si>
    <t>Larutan topikal</t>
  </si>
  <si>
    <t>PULPEVIT tercatat BOTOL; pastikan bentuk sediaan dan nama dagangnya. Rasio sumber = 0; tidak digunakan sebagai angka konversi.</t>
  </si>
  <si>
    <t>ZINK SIRUP</t>
  </si>
  <si>
    <t>Box</t>
  </si>
  <si>
    <t>Tablet</t>
  </si>
  <si>
    <t>Dibeli per BOX; jumlah tablet/strip per box belum tersedia. Isi konversi berdasarkan kemasan. Konversi belum ditetapkan; isi setelah klinik memastikan isi kemasan.</t>
  </si>
  <si>
    <t>Sachet</t>
  </si>
  <si>
    <t>Serbuk oral</t>
  </si>
  <si>
    <t>Rasio sumber = 0; tidak digunakan sebagai angka konversi. Konversi belum ditetapkan; isi setelah klinik memastikan isi kemasan.</t>
  </si>
  <si>
    <t>Sumber menyebut BUTIR; satuan tablet adalah usulan dari bentuk obat. Pastikan label.</t>
  </si>
  <si>
    <t>ALPARA</t>
  </si>
  <si>
    <t>AMLODIPIN 10 MG</t>
  </si>
  <si>
    <t>Tablet/Kapsul</t>
  </si>
  <si>
    <t>Oral padat (cek)</t>
  </si>
  <si>
    <t>Sumber menyebut BUTIR; satuan tablet adalah usulan dari bentuk obat. Pastikan label. Nama AMOXICILLIN belum menyebut tablet/kapsul; pastikan bentuk sediaan dan kekuatan.</t>
  </si>
  <si>
    <t>suplemen</t>
  </si>
  <si>
    <t>Sumber menyebut BUTIR; satuan tablet adalah usulan dari bentuk obat. Pastikan label. ANELAT adalah nama dagang; pastikan tablet atau kapsul di kemasan.</t>
  </si>
  <si>
    <t>Antasida</t>
  </si>
  <si>
    <t>Cocok nama; sediaan perlu cek</t>
  </si>
  <si>
    <t>Master ANTASIDA; stok usulan Tablet, sedangkan laporan box. Produk antasida juga dapat memiliki bentuk lain.</t>
  </si>
  <si>
    <t>Konfirmasi bentuk tablet, merk/kekuatan, isi box/strip dan lokasi stok.</t>
  </si>
  <si>
    <t>Asam Mefenamat hanya kandidat pencocokan nama WA 'Asmef', bukan kecocokan yang telah dibuktikan.</t>
  </si>
  <si>
    <t>Betahistin</t>
  </si>
  <si>
    <t>Alias nama; wajib konfirmasi</t>
  </si>
  <si>
    <t>Master BETAHISTIN/SAMCOHISTN; satuan stok usulan Tablet. Ada Histigo pada item lain yang berpotensi bahan aktif serupa.</t>
  </si>
  <si>
    <t>Konfirmasi merek, kekuatan tablet, isi box/strip, dan perbedaan SKU dengan Histigo.</t>
  </si>
  <si>
    <t>BIMAFLOX</t>
  </si>
  <si>
    <t>CIPROFLOXACIN</t>
  </si>
  <si>
    <t>CTM TAB</t>
  </si>
  <si>
    <t>Dexa injeksi tercatat BUTIR; pastikan ampul/vial dan isi kemasan.</t>
  </si>
  <si>
    <t>Sumber menyebut BUTIR; satuan tablet adalah usulan dari bentuk obat. Pastikan label. DIAFORM/OMEGDIAR adalah nama alternatif; pastikan bentuk tablet dan tidak tercampur item lain.</t>
  </si>
  <si>
    <t>Omegdiar</t>
  </si>
  <si>
    <t>Master DIAFORM/OMEGDIAR; satuan stok usulan Tablet. Penulisan dua nama pada satu master tidak membuktikan kemasan/produk identik.</t>
  </si>
  <si>
    <t>Konfirmasi apakah Omegdiar dan Diaform benar satu SKU/produk substitusi; foto label dan konversi box.</t>
  </si>
  <si>
    <t>ETABION</t>
  </si>
  <si>
    <t>Sumber menyebut BUTIR; satuan tablet adalah usulan dari bentuk obat. Pastikan label. ETABION belum mencantumkan tablet/kapsul; periksa kemasan.</t>
  </si>
  <si>
    <t>Ampul/Vial</t>
  </si>
  <si>
    <t>Injeksi kontrasepsi</t>
  </si>
  <si>
    <t>Kemasan injeksi Cyclo belum jelas: ampul atau vial; konfirmasi. Konversi belum ditetapkan; isi setelah klinik memastikan isi kemasan.</t>
  </si>
  <si>
    <t>Kemasan injeksi Depo belum jelas: ampul atau vial; konfirmasi. Konversi belum ditetapkan; isi setelah klinik memastikan isi kemasan.</t>
  </si>
  <si>
    <t>Vitamin K injeksi bisa dikemas ampul; cek bentuk produk yang ada di klinik. Konversi belum ditetapkan; isi setelah klinik memastikan isi kemasan.</t>
  </si>
  <si>
    <t>Sumber menyebut BUTIR; satuan tablet adalah usulan dari bentuk obat. Pastikan label. ISDN belum mencantumkan bentuk tablet/jenis sediaan; cek kemasan.</t>
  </si>
  <si>
    <t>Sumber menyebut BUTIR; satuan tablet adalah usulan dari bentuk obat. Pastikan label. NEPHROLIT belum menyebut tablet/kapsul; periksa bentuk obat.</t>
  </si>
  <si>
    <t>Sumber menyebut BUTIR; satuan tablet adalah usulan dari bentuk obat. Pastikan label. Ottoprim Forte perlu dipastikan tablet/kaplet.</t>
  </si>
  <si>
    <t>REMAFAR</t>
  </si>
  <si>
    <t>Remafar</t>
  </si>
  <si>
    <t>Cocok nama</t>
  </si>
  <si>
    <t>Master REMAFAR; satuan stok usulan Tablet. Kemasan asli Butir, laporan box.</t>
  </si>
  <si>
    <t>Konfirmasi bentuk/kekuatan dan jumlah tablet per box serta per strip.</t>
  </si>
  <si>
    <t>Sumber menyebut BUTIR; satuan tablet adalah usulan dari bentuk obat. Pastikan label. TRIMAKAL belum menjelaskan bentuk/kekuatan; cek kemasan.</t>
  </si>
  <si>
    <t>Perlu validasi sediaan</t>
  </si>
  <si>
    <t>Master Trimakal: kemasan asli Butir, stok usulan Tablet/Kapsul. Isi dan bentuk kemasan belum pasti.</t>
  </si>
  <si>
    <t>Foto kemasan Trimakal, tentukan tablet atau kapsul dan isi 1 box, serta sisa kemasan terbuka.</t>
  </si>
  <si>
    <t>Sumber menyebut BUTIR; satuan tablet adalah usulan dari bentuk obat. Pastikan label. TROMILIN belum menjelaskan bentuk obat; cek kemasan.</t>
  </si>
  <si>
    <t>Vit B Comp</t>
  </si>
  <si>
    <t>Kosong</t>
  </si>
  <si>
    <t>Nama di master VIT B COMP, satuan stok usulan Tablet. Nilai 'kosong' berarti laporan stok habis; tidak menentukan konversi kemasan.</t>
  </si>
  <si>
    <t>Konfirmasi lokasi yang kosong (gudang/apotek/gabungan), stok fisik nol, dan kebutuhan pemesanan.</t>
  </si>
  <si>
    <t>Sumber menyebut BUTIR; satuan tablet adalah usulan dari bentuk obat. Pastikan label. YUSIMOX/ETAMOX dapat berupa bentuk sediaan berbeda; verifikasi.</t>
  </si>
  <si>
    <t>KETOKONAZOLE/SOLINFEC</t>
  </si>
  <si>
    <t>Oral padat</t>
  </si>
  <si>
    <t>Ketokonazole/Solinfec tidak spesifik bentuk; pastikan tablet atau kapsul. Rasio sumber = 0; tidak digunakan sebagai angka konversi. Konversi belum ditetapkan; isi setelah klinik memastikan isi kemasan.</t>
  </si>
  <si>
    <t>Sumber menyebut BUTIR; satuan tablet adalah usulan dari bentuk obat. Pastikan label. ACIFAR tertulis ACYCLOVIR 200 MG tetapi keterangan 400 MG; verifikasi kekuatan.</t>
  </si>
  <si>
    <t>Analpim</t>
  </si>
  <si>
    <t>Ambigu: dua bentuk</t>
  </si>
  <si>
    <t>Master ANALPIM / GRAFADON TAB sebagai kandidat utama karena box; tetapi ada FASIDOL/ANALPIM SIRUP di master.</t>
  </si>
  <si>
    <t>Konfirmasi bentuk tablet atau sirup; jangan gabungkan dua entri sampai dikonfirmasi; tentukan isi box jika tablet.</t>
  </si>
  <si>
    <t>CEFADROXIL</t>
  </si>
  <si>
    <t>CEFADROXIL(LOSTACEF) 500 MG</t>
  </si>
  <si>
    <t>Cetirizine</t>
  </si>
  <si>
    <t>Master CETIRIZINE; satuan stok usulan Tablet. Sisa 1 box hanya jumlah kemasan, bukan 1 tablet.</t>
  </si>
  <si>
    <t>Pastikan kekuatan obat, isi box/strip, apakah box utuh, dan stok terpisah gudang/apotek.</t>
  </si>
  <si>
    <t>Danasone</t>
  </si>
  <si>
    <t>Master DANASONE 0,5 MG; satuan stok usulan Tablet. Laporan dalam box, sehingga 3 box belum dapat diubah menjadi tablet.</t>
  </si>
  <si>
    <t>Konfirmasi apakah Danasone 0,5 mg; isi strip/box dan jumlah strip utuh/terbuka.</t>
  </si>
  <si>
    <t>Sumber menyebut BUTIR; satuan tablet adalah usulan dari bentuk obat. Pastikan label. DANEURON belum menyebut bentuk sediaan; pastikan tablet atau kaplet.</t>
  </si>
  <si>
    <t>DEMACOLIN / MOLEXFLU</t>
  </si>
  <si>
    <t>DEXAMETHASON 0,5 MG</t>
  </si>
  <si>
    <t>DEXTRAL 150"S</t>
  </si>
  <si>
    <t>DEXTRAL 150'S tidak menjelaskan apakah tablet/kapsul; perlu lihat kemasan. Rasio sumber = 0; tidak digunakan sebagai angka konversi. Konversi belum ditetapkan; isi setelah klinik memastikan isi kemasan.</t>
  </si>
  <si>
    <t>Domperidon</t>
  </si>
  <si>
    <t>Cocok nama; varian perlu cek</t>
  </si>
  <si>
    <t>Master DOMPERIDON; satuan stok usulan Tablet. Ada HUFADON tablet/sirup terpisah; jangan gabungkan atas dasar bahan aktif.</t>
  </si>
  <si>
    <t>Konfirmasi produk dan kekuatan, isi box/strip, serta pemisahan produk bermerek.</t>
  </si>
  <si>
    <t>EPERISON</t>
  </si>
  <si>
    <t>Sumber menyebut BUTIR; satuan tablet adalah usulan dari bentuk obat. Pastikan label. Rasio sumber = 0; tidak digunakan sebagai angka konversi.</t>
  </si>
  <si>
    <t>FARSIFEN 400MG</t>
  </si>
  <si>
    <t>FENOFIBRAT 100 MG</t>
  </si>
  <si>
    <t>Flunarizine dan cinnarizine adalah zat aktif berbeda; cek apakah digabung secara keliru. Rasio sumber = 0; tidak digunakan sebagai angka konversi. Konversi belum ditetapkan; isi setelah klinik memastikan isi kemasan.</t>
  </si>
  <si>
    <t>Grafamic hanya kandidat pencocokan nama WA 'Asmef', bukan kecocokan yang telah dibuktikan.</t>
  </si>
  <si>
    <t>IBUPROFEN</t>
  </si>
  <si>
    <t>Ibuprofen</t>
  </si>
  <si>
    <t>Master IBUPROFEN; satuan stok usulan Tablet. Terdapat produk lain terkait ibuprofen (mis. FARSIFEN), jangan disatukan otomatis.</t>
  </si>
  <si>
    <t>Konfirmasi dosis/merek item yang dimaksud, isi box/strip serta lokasi stok.</t>
  </si>
  <si>
    <t>KALK</t>
  </si>
  <si>
    <t>Kalk</t>
  </si>
  <si>
    <t>Master KALK; satuan stok usulan Tablet. Tidak ada jumlah box maupun stok aktual selain keterangan kosong.</t>
  </si>
  <si>
    <t>Pastikan bentuk sediaan/merk, lokasi kosong, dan apakah angka nol sudah diverifikasi.</t>
  </si>
  <si>
    <t>Kapsul (cek)</t>
  </si>
  <si>
    <t>Sumber menyebut BUTIR; satuan tablet adalah usulan dari bentuk obat. Pastikan label. LOKEV (omeprazole) dapat berupa kapsul; pastikan bukan tablet.</t>
  </si>
  <si>
    <t>Sumber menyebut BUTIR; satuan tablet adalah usulan dari bentuk obat. Pastikan label. SCOPMAPLUS belum ditulis bentuk; pastikan tablet/kaplet.</t>
  </si>
  <si>
    <t>Simvastatain 20 mg</t>
  </si>
  <si>
    <t>SELVIM 10 MG tetapi keterangan Simvastatin 20 mg. Verifikasi kekuatan obat. Rasio sumber = 0; tidak digunakan sebagai angka konversi. Konversi belum ditetapkan; isi setelah klinik memastikan isi kemasan.</t>
  </si>
  <si>
    <t>Ursodeoxycholic acid</t>
  </si>
  <si>
    <t>Master URSODEOXYCHOLIC ACID; satuan stok usulan Tablet. Nama laporan sama secara substansi.</t>
  </si>
  <si>
    <t>Konfirmasi stok nol per lokasi serta merek, kekuatan sediaan dan ukuran kemasan.</t>
  </si>
  <si>
    <t>VIT C</t>
  </si>
  <si>
    <t>Vitamin K</t>
  </si>
  <si>
    <t>Nama VITAMIN K tidak menjelaskan bentuk tablet/injeksi; cek kemasan. Rasio sumber = 0; tidak digunakan sebagai angka konversi. Konversi belum ditetapkan; isi setelah klinik memastikan isi kemasan.</t>
  </si>
  <si>
    <t>ZINK</t>
  </si>
  <si>
    <t>Kemasan beli sumber tertulis -BUTIR. Piroxicam tanpa sediaan/kekuatan; tentukan kapsul/tablet dan satuan nyata. Konversi belum ditetapkan; isi setelah klinik memastikan isi kemasan.</t>
  </si>
  <si>
    <t>Kapsul</t>
  </si>
  <si>
    <t>cefixim 200 mg</t>
  </si>
  <si>
    <t>FLS dinormalisasi ke BOTOL berdasarkan nama tetes mata; cek ukuran kemasan. Rasio sumber = 0; tidak digunakan sebagai angka konversi.</t>
  </si>
  <si>
    <t>Kaplet</t>
  </si>
  <si>
    <t>Roverton TAB tetapi satuan sumber KAPLET; pastikan tablet/kaplet sesuai kemasan. Rasio sumber = 0; tidak digunakan sebagai angka konversi.</t>
  </si>
  <si>
    <t>Pot</t>
  </si>
  <si>
    <t>Salep</t>
  </si>
  <si>
    <t>Suppositoria</t>
  </si>
  <si>
    <t>Tube</t>
  </si>
  <si>
    <t>Salep/Krim/Gel</t>
  </si>
  <si>
    <t>Tetes mata tercatat TUBE; seharusnya cek kemasan botol dan volume. Rasio sumber = 0; tidak digunakan sebagai angka konversi.</t>
  </si>
  <si>
    <t>Tetes telinga</t>
  </si>
  <si>
    <t>Tetes telinga tercatat TUBE; cek kemasan botol dan volume. Rasio sumber = 0; tidak digunakan sebagai angka konversi.</t>
  </si>
  <si>
    <t>GENTAMICIN SALEP</t>
  </si>
  <si>
    <t>KETOKONAZOLE CR masih dicatat krim; verifikasi jumlah gram per tube.</t>
  </si>
  <si>
    <t>Tetes telinga tercatat TUBE; cek botol asli.</t>
  </si>
  <si>
    <t>Vial/Ampul</t>
  </si>
  <si>
    <t>Buscopan injeksi tercatat VIAL; cek label karena dapat berbeda menurut produk. Konversi belum ditetapkan; isi setelah klinik memastikan isi kemasan.</t>
  </si>
  <si>
    <t>Vial</t>
  </si>
  <si>
    <t>Kontrasepsi injeksi</t>
  </si>
  <si>
    <t>KB 1 bulan tercatat VIAL; cek kemasan yang digunakan. Rasio sumber = 0; tidak digunakan sebagai angka konversi. Konversi belum ditetapkan; isi setelah klinik memastikan isi kemasan.</t>
  </si>
  <si>
    <t>KB 2 bulan tercatat VIAL; cek kemasan yang digunakan. Konversi belum ditetapkan; isi setelah klinik memastikan isi kemasan.</t>
  </si>
  <si>
    <t>PANDUAN REVIEW • SATUAN OBAT</t>
  </si>
  <si>
    <t>Daftar kerja untuk Rival dan petugas Klinik Shifa Medika | 08 Oktober 2026</t>
  </si>
  <si>
    <t>RINGKASAN</t>
  </si>
  <si>
    <t>JUMLAH</t>
  </si>
  <si>
    <t>ARTI WARNA / KOLOM</t>
  </si>
  <si>
    <t>Total item</t>
  </si>
  <si>
    <t>Abu-abu</t>
  </si>
  <si>
    <t>Data sumber, tidak perlu diedit</t>
  </si>
  <si>
    <t>Data yang disalin apa adanya dari file klinik</t>
  </si>
  <si>
    <t>Kuning</t>
  </si>
  <si>
    <t>Usulan sistem</t>
  </si>
  <si>
    <t>Usulan satuan, jenis barang, status, dan catatan untuk dikonfirmasi</t>
  </si>
  <si>
    <t>Hijau muda</t>
  </si>
  <si>
    <t>Konversi usulan</t>
  </si>
  <si>
    <t>Angka 1 hanya usulan ketika satuan beli dan stok sama</t>
  </si>
  <si>
    <t>Konversi belum diusulkan</t>
  </si>
  <si>
    <t>Biru muda</t>
  </si>
  <si>
    <t>Kolom untuk Rival</t>
  </si>
  <si>
    <t>Dropdown keputusan, satuan final, dan catatan koreksi</t>
  </si>
  <si>
    <t>Oranye</t>
  </si>
  <si>
    <t>Ada kemungkinan kekeliruan satuan, rasio 0, atau keterangan ambigu</t>
  </si>
  <si>
    <t>Disetujui</t>
  </si>
  <si>
    <t>Revisi</t>
  </si>
  <si>
    <t>Tanya klinik</t>
  </si>
  <si>
    <t>CARA REVIEW UNTUK RIVAL</t>
  </si>
  <si>
    <t>1. Buka 'Review Satuan'. Prioritaskan filter Status Verifikasi = 'Perlu konfirmasi'.</t>
  </si>
  <si>
    <t>2. Bandingkan satuan beli dan stok usulan dengan label kemasan, catatan pembelian, serta cara pencatatan obat di klinik.</t>
  </si>
  <si>
    <t>3. Isi 'Keputusan Review Rival': Disetujui, Revisi, atau Tanya klinik.</t>
  </si>
  <si>
    <t>4. Jika disetujui, tuliskan satuan final dan konversinya pada kolom biru; kosongkan yang belum terkonfirmasi.</t>
  </si>
  <si>
    <t>5. Isi Catatan Rival apabila ada perbedaan merk, dosis, bentuk sediaan, isi strip/box, atau barang bukan obat.</t>
  </si>
  <si>
    <t>6. Setelah semua disetujui, gunakan kolom final (bukan usulan) sebagai master data aplikasi.</t>
  </si>
  <si>
    <t>CATATAN PENTING UNTUK IMPLEMENTASI SISTEM</t>
  </si>
  <si>
    <t>• Satuan yang sama belum berarti konversi telah diverifikasi; nilai 1 tetap perlu dipastikan dari kemasan fisik.</t>
  </si>
  <si>
    <t>• Rasio sumber 0 bukan berarti isi kemasan 0. Jangan impor angka ini sebagai konversi.</t>
  </si>
  <si>
    <t>• Angka konversi box/strip/bungkus perlu berdasarkan jumlah unit yang sebenarnya dan bisa berbeda menurut produk.</t>
  </si>
  <si>
    <t>• Jangan mencampur obat yang berbeda dosis, merek, bentuk sediaan, atau kemasan dalam satu stok tanpa aturan yang jelas.</t>
  </si>
  <si>
    <t>• Selisih stok opname, nomor batch, dan tanggal kedaluwarsa nantinya menggunakan satuan stok dasar yang dipilih.</t>
  </si>
  <si>
    <t>• Dokumen RUJUKAN, alat kesehatan, serta item KB perlu diputuskan apakah berada dalam master obat atau master item lain.</t>
  </si>
  <si>
    <t>• Kolom final sengaja kosong untuk menghindari usulan terbaca sebagai verifikasi resmi Klinik Shifa Medika.</t>
  </si>
  <si>
    <t>• Tab 'Sheet' berisi file klinik asli; jangan melakukan edit di tab tersebut.</t>
  </si>
  <si>
    <t>PEMBARUAN • PENCOCOKAN LAPORAN MALAM DARI WHATSAPP</t>
  </si>
  <si>
    <t>• Sheet 'Review Satuan' memiliki kolom tambahan T:AE. Kuning/oranye = analisis dari contoh WA; biru = kolom jawaban dan konfirmasi Rival.</t>
  </si>
  <si>
    <t>• Sheet 'Pencocokan Laporan WA' berisi 15 nama dari laporan stok kosong/menipis berikut jumlah &amp; satuan sebagaimana ditulis petugas.</t>
  </si>
  <si>
    <t>• Sheet 'Checklist Klarifikasi' menyusun pertanyaan yang perlu diajukan Rival; kolom biru untuk jawaban dari klinik.</t>
  </si>
  <si>
    <t>• Contoh WA bukan daftar stock opname lengkap; item yang tidak tercantum bukan berarti tidak tersedia di klinik.</t>
  </si>
  <si>
    <t>• Nilai 'Kosong' pada WA bukan transaksi mutasi stok dan tidak boleh otomatis menimpa jumlah stok di sistem.</t>
  </si>
  <si>
    <t>• 'Box' dan 'fls' adalah satuan yang digunakan dalam laporan, belum tentu sama dengan satuan pembelian atau satuan stok dasarnya.</t>
  </si>
  <si>
    <t>• Yang disebut 1 box bukan berarti 1 tablet. Isi box dan strip harus dibuktikan menurut produk/dosis/kemasan spesifik.</t>
  </si>
  <si>
    <t>• Untuk Asmef tidak ada nama persis di master; kandidat Asam Mefenamat/Grafamic BUKAN padanan yang sudah terverifikasi.</t>
  </si>
  <si>
    <t>• Analpim punya kandidat tablet dan sirup. Jangan disatukan sebelum memastikan produk yang dimaksud.</t>
  </si>
  <si>
    <t>• Prioritaskan juga memastikan lokasi gudang/apotek, batch dan expiry, serta apakah laporan hanya stok kritis atau hasil hitung fisik.</t>
  </si>
  <si>
    <t>• Setelah validasi, isikan kolom final dan konversi yang benar; jangan menyalin angka ilustrasi sebagai fakta.</t>
  </si>
  <si>
    <t>PENCOCOKAN LAPORAN STOK MENIPIS / KOSONG • KLINIK SHIFA MEDIKA</t>
  </si>
  <si>
    <t>Sumber: contoh pesan WhatsApp diteruskan petugas | 08 Okt 2026: tanggal laporan asli belum dikonfirmasi | BUKAN dokumen stock opname lengkap</t>
  </si>
  <si>
    <t>Kata 'kosong' ditulis 0 hanya sebagai status laporan (jangan langsung koreksi stok). Box dan 'fls' tidak otomatis ekuivalen dengan tablet/botol.</t>
  </si>
  <si>
    <t>Jumlah item dilaporkan</t>
  </si>
  <si>
    <t>Stok kosong</t>
  </si>
  <si>
    <t>Nama terpetakan (termasuk ambigu)</t>
  </si>
  <si>
    <t>Belum cocok persis</t>
  </si>
  <si>
    <t>Nama menurut WA</t>
  </si>
  <si>
    <t>Jumlah dilaporkan</t>
  </si>
  <si>
    <t>Satuan menurut WA</t>
  </si>
  <si>
    <t>ID master (kandidat)</t>
  </si>
  <si>
    <t>Nama master (kandidat)</t>
  </si>
  <si>
    <t>Satuan dasar usulan</t>
  </si>
  <si>
    <t>Catatan analisis / risiko</t>
  </si>
  <si>
    <t>Pertanyaan kepada klinik</t>
  </si>
  <si>
    <t>Satuan laporan final</t>
  </si>
  <si>
    <t>Lokasi stok</t>
  </si>
  <si>
    <t>Hasil review Rival</t>
  </si>
  <si>
    <t>Asmef</t>
  </si>
  <si>
    <t>TIDAK DITEMUKAN</t>
  </si>
  <si>
    <t>Belum ada kecocokan nama persis</t>
  </si>
  <si>
    <t>Belum ditentukan</t>
  </si>
  <si>
    <t>Tidak ada nama persis</t>
  </si>
  <si>
    <t>ASMEF tidak ditemukan sebagai nama persis di master. ASAM MEFENAMAT dan GRAFAMIC hanya kandidat, belum terbukti setara dengan Asmef.</t>
  </si>
  <si>
    <t>Tanyakan nama produk persis/foto label, komposisi, kekuatan dan apakah perlu SKU baru. Jangan pilih kandidat otomatis.</t>
  </si>
  <si>
    <t>DAFTAR KLARIFIKASI LAPANGAN • UNTUK RIVAL &amp; KLINIK</t>
  </si>
  <si>
    <t>Prioritas tinggi bukan berarti ada kesalahan; artinya konfirmasi diperlukan sebelum data dipakai untuk stok otomatis.</t>
  </si>
  <si>
    <t>Prioritas</t>
  </si>
  <si>
    <t>Produk / cakupan</t>
  </si>
  <si>
    <t>Pertanyaan ke klinik</t>
  </si>
  <si>
    <t>Alasan dan dampak ke sistem</t>
  </si>
  <si>
    <t>Bukti / data yang diminta</t>
  </si>
  <si>
    <t>Jawaban klinik (Rival)</t>
  </si>
  <si>
    <t>Status</t>
  </si>
  <si>
    <t>Tinggi</t>
  </si>
  <si>
    <t>Semua 15 item</t>
  </si>
  <si>
    <t>Apakah daftar WhatsApp hanya obat yang kosong/menipis, atau hasil menghitung seluruh stok setiap malam?</t>
  </si>
  <si>
    <t>Pembedaan laporan pengecualian vs stock opname; tidak boleh otomatis mengoreksi stok.</t>
  </si>
  <si>
    <t>Jelaskan alur dan contoh pencatatan/pemeriksaan harian</t>
  </si>
  <si>
    <t>Sisa yang dikirim petugas berasal dari gudang, apotek, poli, atau stok gabungan?</t>
  </si>
  <si>
    <t>Sistem harus mempertahankan saldo per lokasi, bukan menyatukannya tanpa dasar.</t>
  </si>
  <si>
    <t>Contoh catatan stok per lokasi</t>
  </si>
  <si>
    <t>Semua item ber-unit box</t>
  </si>
  <si>
    <t>Apakah 'box' artinya kemasan utuh; bagaimana mencatat box/strip yang sudah terbuka?</t>
  </si>
  <si>
    <t>Satu box bukan satu tablet; laporan kuantitas butuh standar konsisten.</t>
  </si>
  <si>
    <t>Contoh 1 item: jumlah box + strip + butir</t>
  </si>
  <si>
    <t>Trimakal yang dipakai tablet atau kapsul; isi 1 box dan 1 strip berapa?</t>
  </si>
  <si>
    <t>Satuan dasar master belum terkonfirmasi.</t>
  </si>
  <si>
    <t>Foto kemasan dan label</t>
  </si>
  <si>
    <t>Analpim 1 box itu tablet atau sirup? Apakah berbeda dari FASIDOL/ANALPIM SIRUP?</t>
  </si>
  <si>
    <t>Master memiliki dua entri terkait Analpim; berisiko salah SKU.</t>
  </si>
  <si>
    <t>Foto kemasan, nama resmi dan bentuk sediaan</t>
  </si>
  <si>
    <t>Apa nama produk yang tepat di kemasan? Apakah sama dengan Asam Mefenamat/Grafamic atau item lain?</t>
  </si>
  <si>
    <t>Tidak ada match nama persis di master saat ini.</t>
  </si>
  <si>
    <t>Foto kemasan, merek, kekuatan, kode atau nomor barang</t>
  </si>
  <si>
    <t>Apa arti 'fls'? Apakah satu unit botol/flakon atau ukuran lain? Berapa mL per unit?</t>
  </si>
  <si>
    <t>Satuan pelaporan berbeda dari botol di Excel; tidak boleh disamakan otomatis.</t>
  </si>
  <si>
    <t>Foto kemasan dan penjelasan singkatan</t>
  </si>
  <si>
    <t>DIAFORM/OMEGDIAR di master adalah satu barang sama, alternatif merek, atau dua produk?</t>
  </si>
  <si>
    <t>Nama gabungan berisiko menggandakan/mencampur stok.</t>
  </si>
  <si>
    <t>Identitas produk dan label</t>
  </si>
  <si>
    <t>Apakah item di WA merujuk ke BETAHISTIN/SAMCOHISTN, Histigo, atau produk lain?</t>
  </si>
  <si>
    <t>Terdapat beberapa nama berkaitan dengan betahistin.</t>
  </si>
  <si>
    <t>Nama merek, kekuatan dan foto kemasan</t>
  </si>
  <si>
    <t>Sedang</t>
  </si>
  <si>
    <t>Ibuprofen, Domperidon</t>
  </si>
  <si>
    <t>Obat di laporan merujuk merek/dosis tertentu? Apakah bisa dibedakan dari Farsifen/Hufadon?</t>
  </si>
  <si>
    <t>Bahan aktif sama tidak selalu produk/kemasan sama.</t>
  </si>
  <si>
    <t>Nama lengkap, bentuk sediaan, kekuatan</t>
  </si>
  <si>
    <t>Danasone, Cetirizine, Remafar, Antasida</t>
  </si>
  <si>
    <t>Berapa strip per box dan berapa tablet per strip untuk stok yang dilaporkan?</t>
  </si>
  <si>
    <t>Dasar konversi qty box menuju tablet.</t>
  </si>
  <si>
    <t>Foto isi box/strip atau dokumen pembelian</t>
  </si>
  <si>
    <t>Vit B Comp, Kalk, Ursodeoxycholic Acid</t>
  </si>
  <si>
    <t>Ketika ditulis 'kosong', apakah nol di semua lokasi atau hanya satu lokasi?</t>
  </si>
  <si>
    <t>Status nol tidak boleh otomatis mengubah saldo di gudang dan apotek.</t>
  </si>
  <si>
    <t>Tangkapan stok fisik/lokasi</t>
  </si>
  <si>
    <t>Semua item terkait laporan</t>
  </si>
  <si>
    <t>Apakah angka tersebut hasil hitung fisik atau hanya perkiraan untuk permintaan pembelian?</t>
  </si>
  <si>
    <t>Menghindari salah penerapan koreksi stok sistem dan proses opname.</t>
  </si>
  <si>
    <t>Prosedur cek stok / contoh laporan asli</t>
  </si>
  <si>
    <t>Semua produk</t>
  </si>
  <si>
    <t>Siapa yang mengecek, menyetujui dan menginput koreksi selisih jika berbeda dengan sistem?</t>
  </si>
  <si>
    <t>Menetapkan peran, audit trail, dan hak akses di Capstone.</t>
  </si>
  <si>
    <t>Pembagian tugas aktual dan otorisasi</t>
  </si>
  <si>
    <t>Apakah petugas mencatat batch dan tanggal kedaluwarsa saat penerimaan dan stok opname?</t>
  </si>
  <si>
    <t>FEFO serta keterlacakan batch/expiry perlu data sumber yang benar.</t>
  </si>
  <si>
    <t>Contoh kartu stok atau dokumen penerimaan</t>
  </si>
  <si>
    <t>Apakah laporan WA disusun harian, hanya bila stok menipis, atau atas permintaan? Ada ambang minimum?</t>
  </si>
  <si>
    <t>Kebutuhan fitur notifikasi stok minimum dan frekuensi laporan.</t>
  </si>
  <si>
    <t>Contoh pesan beberapa tanggal / nilai minimum klinik</t>
  </si>
  <si>
    <t>box</t>
  </si>
  <si>
    <t>FLS itu kemasan botol kalo dilihat dari faktur</t>
  </si>
  <si>
    <t>1 merk tapi sepaket tiap pake langsung 2 ampul</t>
  </si>
  <si>
    <t>ampul</t>
  </si>
  <si>
    <t>botol</t>
  </si>
  <si>
    <t>biasanya belu per box</t>
  </si>
  <si>
    <t>beli per botol</t>
  </si>
  <si>
    <t>tiap box biasanya jumlahnya ada 100 tablet (10 strip)</t>
  </si>
  <si>
    <t>1 box isi 100 sashet</t>
  </si>
  <si>
    <t>ada dua jenis tablet dan kapsul tp keduanya sama</t>
  </si>
  <si>
    <t>tablet</t>
  </si>
  <si>
    <t>beda merek tapi kandungannya sama</t>
  </si>
  <si>
    <t>kapsul dan tablet</t>
  </si>
  <si>
    <t>200mg</t>
  </si>
  <si>
    <t xml:space="preserve">kapsul  </t>
  </si>
  <si>
    <t>kapsul</t>
  </si>
  <si>
    <t>FLS/BOTOL</t>
  </si>
  <si>
    <t>Beli per tube/pcs</t>
  </si>
  <si>
    <t>beli perbox</t>
  </si>
  <si>
    <t>gudang</t>
  </si>
  <si>
    <t>300 tablet</t>
  </si>
  <si>
    <t>100 tablet</t>
  </si>
  <si>
    <t>asmef(ASAM MEFENAMAT)</t>
  </si>
  <si>
    <t>ya pengecekah harian untuk memriksa obat yg kosong atau menipis untuk dibeli</t>
  </si>
  <si>
    <t>Sudah ditanyakan</t>
  </si>
  <si>
    <t>lokasi pengecekah digudang dan apotek</t>
  </si>
  <si>
    <t>pembelian obat strip harus perbox. Tiap jenis obat biasanya berbeda mulai dari 50, 100, 150 butir/pcs</t>
  </si>
  <si>
    <t>biasanya ada 2 jenis tablet dan kapsul</t>
  </si>
  <si>
    <t>berbeda merek saja tapi kandungannya sama</t>
  </si>
  <si>
    <t>asmef singkatang dari asam mefenamat. Grafamic mereknya</t>
  </si>
  <si>
    <t>dua merek tapi kandungan obatnya sama</t>
  </si>
  <si>
    <t>farsifen dan hufadon jenis obat yg berbeda</t>
  </si>
  <si>
    <t>pada umumnya jumlah 1 box adalah 10 strip atau 100pcs</t>
  </si>
  <si>
    <t>stok gudang kosong</t>
  </si>
  <si>
    <t>hasil hitung fisik</t>
  </si>
  <si>
    <t>hanya bila stok menipis yg dilaporkan</t>
  </si>
  <si>
    <t>semua petugas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</si>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</sst>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</font>
    <font>
      <sz val="8.25"/>
      <color rgb="FF000000"/>
      <name val="Tahoma"/>
    </font>
    <font>
      <b/>
      <sz val="16"/>
      <color rgb="FFFFFFFF"/>
      <name val="Calibri"/>
    </font>
    <font>
      <sz val="10"/>
      <color rgb="FF24517A"/>
      <name val="Calibri"/>
    </font>
    <font>
      <b/>
      <sz val="10"/>
      <color rgb="FF17365D"/>
      <name val="Calibri"/>
    </font>
    <font>
      <b/>
      <sz val="10"/>
      <color rgb="FF59420B"/>
      <name val="Calibri"/>
    </font>
    <font>
      <b/>
      <sz val="10"/>
      <color rgb="FFFFFFFF"/>
      <name val="Calibri"/>
    </font>
    <font>
      <sz val="10"/>
      <color rgb="FF14283E"/>
      <name val="Calibri"/>
    </font>
    <font>
      <b/>
      <sz val="17"/>
      <color rgb="FFFFFFFF"/>
      <name val="Calibri"/>
    </font>
    <font>
      <b/>
      <sz val="11"/>
      <color rgb="FFFFFFFF"/>
      <name val="Calibri"/>
    </font>
    <font>
      <sz val="11"/>
      <color rgb="FF14283E"/>
      <name val="Calibri"/>
    </font>
    <font>
      <b/>
      <sz val="12"/>
      <color rgb="FF166534"/>
      <name val="Calibri"/>
    </font>
    <font>
      <b/>
      <sz val="15"/>
      <color rgb="FFFFFFFF"/>
      <name val="Calibri"/>
    </font>
    <font>
      <sz val="11"/>
      <color rgb="FF183153"/>
      <name val="Calibri"/>
    </font>
    <font>
      <b/>
      <sz val="11"/>
      <color rgb="FF784F0F"/>
      <name val="Calibri"/>
    </font>
    <font>
      <b/>
      <sz val="11"/>
      <color rgb="FF183153"/>
      <name val="Calibri"/>
    </font>
    <font>
      <sz val="11"/>
      <color theme="1"/>
      <name val="Calibri"/>
      <family val="2"/>
    </font>
    <font>
      <sz val="10"/>
      <color rgb="FF14283E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17365D"/>
      </patternFill>
    </fill>
    <fill>
      <patternFill patternType="solid">
        <fgColor rgb="FFE8EEF6"/>
      </patternFill>
    </fill>
    <fill>
      <patternFill patternType="solid">
        <fgColor rgb="FFDAE2EC"/>
      </patternFill>
    </fill>
    <fill>
      <patternFill patternType="solid">
        <fgColor rgb="FFF8D980"/>
      </patternFill>
    </fill>
    <fill>
      <patternFill patternType="solid">
        <fgColor rgb="FFBFDFFF"/>
      </patternFill>
    </fill>
    <fill>
      <patternFill patternType="solid">
        <fgColor rgb="FF24517A"/>
      </patternFill>
    </fill>
    <fill>
      <patternFill patternType="solid">
        <fgColor rgb="FFFFF2C8"/>
      </patternFill>
    </fill>
    <fill>
      <patternFill patternType="solid">
        <fgColor rgb="FFE9F4FF"/>
      </patternFill>
    </fill>
    <fill>
      <patternFill patternType="solid">
        <fgColor rgb="FFE5F5E8"/>
      </patternFill>
    </fill>
    <fill>
      <patternFill patternType="solid">
        <fgColor rgb="FFEDF3FA"/>
      </patternFill>
    </fill>
    <fill>
      <patternFill patternType="solid">
        <fgColor rgb="FFE7F4EB"/>
      </patternFill>
    </fill>
    <fill>
      <patternFill patternType="solid">
        <fgColor rgb="FFDEE4EC"/>
      </patternFill>
    </fill>
    <fill>
      <patternFill patternType="solid">
        <fgColor rgb="FFFCE5D9"/>
      </patternFill>
    </fill>
    <fill>
      <patternFill patternType="solid">
        <fgColor rgb="FFF8FAFC"/>
      </patternFill>
    </fill>
    <fill>
      <patternFill patternType="solid">
        <fgColor rgb="FFFFF8E8"/>
      </patternFill>
    </fill>
    <fill>
      <patternFill patternType="solid">
        <fgColor rgb="FF234D75"/>
      </patternFill>
    </fill>
    <fill>
      <patternFill patternType="solid">
        <fgColor rgb="FF0C6980"/>
      </patternFill>
    </fill>
    <fill>
      <patternFill patternType="solid">
        <fgColor rgb="FF355A7F"/>
      </patternFill>
    </fill>
    <fill>
      <patternFill patternType="solid">
        <fgColor rgb="FFFFF2CC"/>
      </patternFill>
    </fill>
    <fill>
      <patternFill patternType="solid">
        <fgColor rgb="FFE6F2FE"/>
      </patternFill>
    </fill>
    <fill>
      <patternFill patternType="solid">
        <fgColor rgb="FFFCE4D6"/>
      </patternFill>
    </fill>
    <fill>
      <patternFill patternType="solid">
        <fgColor rgb="FF183153"/>
      </patternFill>
    </fill>
    <fill>
      <patternFill patternType="solid">
        <fgColor rgb="FFEAF1F9"/>
      </patternFill>
    </fill>
    <fill>
      <patternFill patternType="solid">
        <fgColor rgb="FFDCE8F3"/>
      </patternFill>
    </fill>
    <fill>
      <patternFill patternType="solid">
        <fgColor rgb="FFF7F9FC"/>
      </patternFill>
    </fill>
    <fill>
      <patternFill patternType="solid">
        <fgColor rgb="FFFFF7E8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4" borderId="2" xfId="0" applyNumberFormat="1" applyFont="1" applyFill="1" applyBorder="1" applyAlignment="1">
      <alignment horizontal="right" vertical="center"/>
    </xf>
    <xf numFmtId="49" fontId="1" fillId="4" borderId="2" xfId="0" applyNumberFormat="1" applyFont="1" applyFill="1" applyBorder="1" applyAlignment="1">
      <alignment horizontal="right" vertical="center"/>
    </xf>
    <xf numFmtId="0" fontId="6" fillId="10" borderId="0" xfId="0" applyFont="1" applyFill="1" applyAlignment="1">
      <alignment vertical="center" wrapText="1"/>
    </xf>
    <xf numFmtId="0" fontId="9" fillId="22" borderId="0" xfId="0" applyFont="1" applyFill="1" applyAlignment="1">
      <alignment vertical="center" wrapText="1"/>
    </xf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5" borderId="0" xfId="0" applyFill="1" applyAlignment="1">
      <alignment wrapText="1"/>
    </xf>
    <xf numFmtId="0" fontId="15" fillId="28" borderId="0" xfId="0" applyFont="1" applyFill="1"/>
    <xf numFmtId="0" fontId="0" fillId="0" borderId="0" xfId="0" applyAlignment="1">
      <alignment vertical="center"/>
    </xf>
    <xf numFmtId="0" fontId="9" fillId="10" borderId="0" xfId="0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11" fillId="15" borderId="0" xfId="0" applyFont="1" applyFill="1" applyAlignment="1">
      <alignment horizontal="center" vertical="center"/>
    </xf>
    <xf numFmtId="0" fontId="0" fillId="16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0" fontId="9" fillId="26" borderId="0" xfId="0" applyFont="1" applyFill="1" applyAlignment="1">
      <alignment vertical="center"/>
    </xf>
    <xf numFmtId="0" fontId="0" fillId="30" borderId="0" xfId="0" applyFill="1" applyAlignment="1">
      <alignment vertical="center" wrapText="1"/>
    </xf>
    <xf numFmtId="0" fontId="0" fillId="30" borderId="0" xfId="0" applyFill="1" applyAlignment="1">
      <alignment vertical="center"/>
    </xf>
    <xf numFmtId="0" fontId="9" fillId="20" borderId="3" xfId="0" applyFont="1" applyFill="1" applyBorder="1" applyAlignment="1">
      <alignment vertical="center" wrapText="1"/>
    </xf>
    <xf numFmtId="0" fontId="0" fillId="29" borderId="3" xfId="0" applyFill="1" applyBorder="1" applyAlignment="1">
      <alignment vertical="center"/>
    </xf>
    <xf numFmtId="0" fontId="0" fillId="25" borderId="3" xfId="0" applyFill="1" applyBorder="1" applyAlignment="1">
      <alignment vertical="center"/>
    </xf>
    <xf numFmtId="0" fontId="0" fillId="29" borderId="3" xfId="0" applyFill="1" applyBorder="1" applyAlignment="1">
      <alignment vertical="center" wrapText="1"/>
    </xf>
    <xf numFmtId="0" fontId="0" fillId="24" borderId="3" xfId="0" applyFill="1" applyBorder="1" applyAlignment="1">
      <alignment vertical="center" wrapText="1"/>
    </xf>
    <xf numFmtId="0" fontId="0" fillId="24" borderId="3" xfId="0" applyFill="1" applyBorder="1" applyAlignment="1">
      <alignment vertical="center"/>
    </xf>
    <xf numFmtId="0" fontId="0" fillId="23" borderId="3" xfId="0" applyFill="1" applyBorder="1" applyAlignment="1">
      <alignment vertical="center"/>
    </xf>
    <xf numFmtId="0" fontId="9" fillId="20" borderId="3" xfId="0" applyFont="1" applyFill="1" applyBorder="1" applyAlignment="1">
      <alignment horizontal="center" vertical="center" wrapText="1"/>
    </xf>
    <xf numFmtId="0" fontId="0" fillId="29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3" xfId="0" applyFill="1" applyBorder="1" applyAlignment="1">
      <alignment vertical="center" wrapText="1"/>
    </xf>
    <xf numFmtId="0" fontId="15" fillId="28" borderId="0" xfId="0" applyFont="1" applyFill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11" borderId="3" xfId="0" applyFont="1" applyFill="1" applyBorder="1" applyAlignment="1">
      <alignment vertical="center"/>
    </xf>
    <xf numFmtId="0" fontId="7" fillId="13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vertical="center" wrapText="1"/>
    </xf>
    <xf numFmtId="0" fontId="7" fillId="12" borderId="3" xfId="0" applyFont="1" applyFill="1" applyBorder="1" applyAlignment="1">
      <alignment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vertical="center" wrapText="1"/>
    </xf>
    <xf numFmtId="0" fontId="6" fillId="10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right" vertical="center"/>
    </xf>
    <xf numFmtId="0" fontId="9" fillId="20" borderId="0" xfId="0" applyFont="1" applyFill="1"/>
    <xf numFmtId="0" fontId="9" fillId="21" borderId="0" xfId="0" applyFont="1" applyFill="1"/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9" borderId="0" xfId="0" applyFill="1" applyAlignment="1">
      <alignment vertical="center" wrapText="1"/>
    </xf>
    <xf numFmtId="0" fontId="9" fillId="10" borderId="0" xfId="0" applyFont="1" applyFill="1" applyAlignment="1">
      <alignment vertical="center"/>
    </xf>
    <xf numFmtId="0" fontId="0" fillId="18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0" fillId="16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12" fillId="26" borderId="0" xfId="0" applyFont="1" applyFill="1" applyAlignment="1">
      <alignment vertical="center"/>
    </xf>
    <xf numFmtId="0" fontId="13" fillId="27" borderId="0" xfId="0" applyFont="1" applyFill="1"/>
    <xf numFmtId="0" fontId="14" fillId="23" borderId="0" xfId="0" applyFont="1" applyFill="1"/>
    <xf numFmtId="0" fontId="12" fillId="26" borderId="0" xfId="0" applyFont="1" applyFill="1"/>
    <xf numFmtId="0" fontId="17" fillId="12" borderId="3" xfId="0" applyFont="1" applyFill="1" applyBorder="1" applyAlignment="1">
      <alignment vertical="center"/>
    </xf>
    <xf numFmtId="0" fontId="17" fillId="12" borderId="3" xfId="0" applyFont="1" applyFill="1" applyBorder="1" applyAlignment="1">
      <alignment vertical="center" wrapText="1"/>
    </xf>
    <xf numFmtId="0" fontId="16" fillId="24" borderId="3" xfId="0" applyFont="1" applyFill="1" applyBorder="1" applyAlignment="1">
      <alignment vertical="center"/>
    </xf>
  </cellXfs>
  <cellStyles count="1">
    <cellStyle name="Normal" xfId="0" builtinId="0"/>
  </cellStyles>
  <dxfs count="24">
    <dxf>
      <font>
        <b/>
        <color rgb="FF92400E"/>
      </font>
      <fill>
        <patternFill>
          <bgColor rgb="FFFFF2C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8F3E3"/>
        </patternFill>
      </fill>
    </dxf>
    <dxf>
      <font>
        <b/>
        <color rgb="FF765313"/>
      </font>
      <fill>
        <patternFill>
          <bgColor rgb="FFFFF1C3"/>
        </patternFill>
      </fill>
    </dxf>
    <dxf>
      <font>
        <b/>
        <color rgb="FF9C352B"/>
      </font>
      <fill>
        <patternFill>
          <bgColor rgb="FFFCE5D9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ReviewSatuan" displayName="MasterReviewSatuan" ref="A4:S164" totalsRowShown="0">
  <tableColumns count="19">
    <tableColumn id="1" xr3:uid="{00000000-0010-0000-0000-000001000000}" name="No" dataDxfId="23"/>
    <tableColumn id="2" xr3:uid="{00000000-0010-0000-0000-000002000000}" name="ID Produk" dataDxfId="22"/>
    <tableColumn id="3" xr3:uid="{00000000-0010-0000-0000-000003000000}" name="Nama Produk" dataDxfId="21"/>
    <tableColumn id="4" xr3:uid="{00000000-0010-0000-0000-000004000000}" name="Keterangan Sumber" dataDxfId="20"/>
    <tableColumn id="5" xr3:uid="{00000000-0010-0000-0000-000005000000}" name="Kemasan Beli Asli" dataDxfId="19"/>
    <tableColumn id="6" xr3:uid="{00000000-0010-0000-0000-000006000000}" name="Rasio Asli" dataDxfId="18"/>
    <tableColumn id="7" xr3:uid="{00000000-0010-0000-0000-000007000000}" name="Satuan Beli Usulan" dataDxfId="17"/>
    <tableColumn id="8" xr3:uid="{00000000-0010-0000-0000-000008000000}" name="Satuan Stok Usulan" dataDxfId="16"/>
    <tableColumn id="9" xr3:uid="{00000000-0010-0000-0000-000009000000}" name="Satuan Keluar Usulan" dataDxfId="15"/>
    <tableColumn id="10" xr3:uid="{00000000-0010-0000-0000-00000A000000}" name="Konversi Beli ke Stok" dataDxfId="14"/>
    <tableColumn id="11" xr3:uid="{00000000-0010-0000-0000-00000B000000}" name="Bentuk Sediaan" dataDxfId="13"/>
    <tableColumn id="12" xr3:uid="{00000000-0010-0000-0000-00000C000000}" name="Kelompok Item" dataDxfId="12"/>
    <tableColumn id="13" xr3:uid="{00000000-0010-0000-0000-00000D000000}" name="Status Verifikasi" dataDxfId="11"/>
    <tableColumn id="14" xr3:uid="{00000000-0010-0000-0000-00000E000000}" name="Catatan / Pertanyaan untuk Klinik" dataDxfId="10"/>
    <tableColumn id="15" xr3:uid="{00000000-0010-0000-0000-00000F000000}" name="Keputusan Review Rival" dataDxfId="9"/>
    <tableColumn id="16" xr3:uid="{00000000-0010-0000-0000-000010000000}" name="Satuan Beli Final" dataDxfId="8"/>
    <tableColumn id="17" xr3:uid="{00000000-0010-0000-0000-000011000000}" name="Satuan Stok Final" dataDxfId="7"/>
    <tableColumn id="18" xr3:uid="{00000000-0010-0000-0000-000012000000}" name="Konversi Final" dataDxfId="6"/>
    <tableColumn id="19" xr3:uid="{00000000-0010-0000-0000-000013000000}" name="Catatan Rival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0"/>
  <sheetViews>
    <sheetView showGridLines="0" workbookViewId="0"/>
  </sheetViews>
  <sheetFormatPr defaultRowHeight="15" x14ac:dyDescent="0.25"/>
  <cols>
    <col min="1" max="1" width="22.85546875" customWidth="1"/>
    <col min="2" max="2" width="30.85546875" customWidth="1"/>
    <col min="3" max="3" width="15.7109375" customWidth="1"/>
    <col min="4" max="4" width="17" customWidth="1"/>
    <col min="5" max="5" width="8.42578125" customWidth="1"/>
    <col min="6" max="6" width="9.85546875" customWidth="1"/>
    <col min="7" max="7" width="19" customWidth="1"/>
    <col min="8" max="8" width="9" customWidth="1"/>
    <col min="9" max="10" width="18.140625" customWidth="1"/>
    <col min="11" max="11" width="18.5703125" customWidth="1"/>
    <col min="12" max="12" width="9.5703125" customWidth="1"/>
    <col min="13" max="13" width="10.140625" customWidth="1"/>
    <col min="14" max="14" width="8.5703125" customWidth="1"/>
    <col min="15" max="15" width="9.140625" customWidth="1"/>
    <col min="16" max="16" width="6.5703125" customWidth="1"/>
    <col min="17" max="17" width="7.140625" customWidth="1"/>
    <col min="18" max="18" width="7.7109375" customWidth="1"/>
    <col min="19" max="19" width="8.28515625" customWidth="1"/>
    <col min="20" max="20" width="8.42578125" customWidth="1"/>
    <col min="21" max="21" width="6.85546875" customWidth="1"/>
    <col min="22" max="22" width="8.42578125" customWidth="1"/>
  </cols>
  <sheetData>
    <row r="1" spans="1:2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8.75" customHeigh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2" t="s">
        <v>24</v>
      </c>
      <c r="G2" s="4">
        <v>7650</v>
      </c>
      <c r="H2" s="3"/>
      <c r="I2" s="4">
        <v>1</v>
      </c>
      <c r="J2" s="4">
        <v>7650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3" t="s">
        <v>27</v>
      </c>
      <c r="U2" s="3" t="s">
        <v>27</v>
      </c>
      <c r="V2" s="3" t="s">
        <v>26</v>
      </c>
    </row>
    <row r="3" spans="1:22" ht="18.75" customHeigh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3" t="s">
        <v>26</v>
      </c>
      <c r="F3" s="2" t="s">
        <v>24</v>
      </c>
      <c r="G3" s="4">
        <v>10330</v>
      </c>
      <c r="H3" s="3"/>
      <c r="I3" s="4">
        <v>1</v>
      </c>
      <c r="J3" s="4">
        <v>10330</v>
      </c>
      <c r="K3" s="4">
        <v>13000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3" t="s">
        <v>27</v>
      </c>
      <c r="U3" s="3" t="s">
        <v>27</v>
      </c>
      <c r="V3" s="3" t="s">
        <v>26</v>
      </c>
    </row>
    <row r="4" spans="1:22" ht="18.75" customHeigh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3" t="s">
        <v>26</v>
      </c>
      <c r="F4" s="2" t="s">
        <v>36</v>
      </c>
      <c r="G4" s="4">
        <v>6838</v>
      </c>
      <c r="H4" s="3"/>
      <c r="I4" s="4">
        <v>0</v>
      </c>
      <c r="J4" s="4">
        <v>6838</v>
      </c>
      <c r="K4" s="4">
        <v>15000</v>
      </c>
      <c r="L4" s="4"/>
      <c r="M4" s="4"/>
      <c r="N4" s="4"/>
      <c r="O4" s="4"/>
      <c r="P4" s="4"/>
      <c r="Q4" s="4"/>
      <c r="R4" s="4"/>
      <c r="S4" s="4"/>
      <c r="T4" s="3" t="s">
        <v>27</v>
      </c>
      <c r="U4" s="3" t="s">
        <v>27</v>
      </c>
      <c r="V4" s="3" t="s">
        <v>26</v>
      </c>
    </row>
    <row r="5" spans="1:22" ht="18.75" customHeight="1" x14ac:dyDescent="0.25">
      <c r="A5" s="2" t="s">
        <v>37</v>
      </c>
      <c r="B5" s="2" t="s">
        <v>38</v>
      </c>
      <c r="C5" s="2" t="s">
        <v>39</v>
      </c>
      <c r="D5" s="2" t="s">
        <v>31</v>
      </c>
      <c r="E5" s="3" t="s">
        <v>26</v>
      </c>
      <c r="F5" s="2" t="s">
        <v>36</v>
      </c>
      <c r="G5" s="4">
        <v>4443</v>
      </c>
      <c r="H5" s="3"/>
      <c r="I5" s="4">
        <v>0</v>
      </c>
      <c r="J5" s="4">
        <v>4443</v>
      </c>
      <c r="K5" s="4">
        <v>10000</v>
      </c>
      <c r="L5" s="4"/>
      <c r="M5" s="4"/>
      <c r="N5" s="4"/>
      <c r="O5" s="4"/>
      <c r="P5" s="4"/>
      <c r="Q5" s="4"/>
      <c r="R5" s="4"/>
      <c r="S5" s="4"/>
      <c r="T5" s="3" t="s">
        <v>27</v>
      </c>
      <c r="U5" s="3" t="s">
        <v>27</v>
      </c>
      <c r="V5" s="3" t="s">
        <v>26</v>
      </c>
    </row>
    <row r="6" spans="1:22" ht="18.75" customHeight="1" x14ac:dyDescent="0.25">
      <c r="A6" s="2" t="s">
        <v>40</v>
      </c>
      <c r="B6" s="2" t="s">
        <v>41</v>
      </c>
      <c r="C6" s="2" t="s">
        <v>24</v>
      </c>
      <c r="D6" s="2" t="s">
        <v>31</v>
      </c>
      <c r="E6" s="3" t="s">
        <v>26</v>
      </c>
      <c r="F6" s="2" t="s">
        <v>36</v>
      </c>
      <c r="G6" s="4">
        <v>10000</v>
      </c>
      <c r="H6" s="3"/>
      <c r="I6" s="4">
        <v>1</v>
      </c>
      <c r="J6" s="4">
        <v>10000</v>
      </c>
      <c r="K6" s="4">
        <v>15000</v>
      </c>
      <c r="L6" s="4"/>
      <c r="M6" s="4"/>
      <c r="N6" s="4"/>
      <c r="O6" s="4"/>
      <c r="P6" s="4"/>
      <c r="Q6" s="4"/>
      <c r="R6" s="4">
        <v>0</v>
      </c>
      <c r="S6" s="4"/>
      <c r="T6" s="3" t="s">
        <v>27</v>
      </c>
      <c r="U6" s="3" t="s">
        <v>27</v>
      </c>
      <c r="V6" s="3" t="s">
        <v>26</v>
      </c>
    </row>
    <row r="7" spans="1:22" ht="18.75" customHeight="1" x14ac:dyDescent="0.25">
      <c r="A7" s="2" t="s">
        <v>42</v>
      </c>
      <c r="B7" s="2" t="s">
        <v>43</v>
      </c>
      <c r="C7" s="2" t="s">
        <v>44</v>
      </c>
      <c r="D7" s="2" t="s">
        <v>45</v>
      </c>
      <c r="E7" s="3" t="s">
        <v>26</v>
      </c>
      <c r="F7" s="2" t="s">
        <v>36</v>
      </c>
      <c r="G7" s="4">
        <v>1800</v>
      </c>
      <c r="H7" s="3"/>
      <c r="I7" s="4">
        <v>1</v>
      </c>
      <c r="J7" s="4">
        <v>1550</v>
      </c>
      <c r="K7" s="4">
        <v>15000</v>
      </c>
      <c r="L7" s="4"/>
      <c r="M7" s="4"/>
      <c r="N7" s="4"/>
      <c r="O7" s="4"/>
      <c r="P7" s="4"/>
      <c r="Q7" s="4"/>
      <c r="R7" s="4">
        <v>0</v>
      </c>
      <c r="S7" s="4"/>
      <c r="T7" s="3" t="s">
        <v>27</v>
      </c>
      <c r="U7" s="3" t="s">
        <v>27</v>
      </c>
      <c r="V7" s="3" t="s">
        <v>26</v>
      </c>
    </row>
    <row r="8" spans="1:22" ht="18.75" customHeight="1" x14ac:dyDescent="0.25">
      <c r="A8" s="2" t="s">
        <v>46</v>
      </c>
      <c r="B8" s="2" t="s">
        <v>47</v>
      </c>
      <c r="C8" s="2" t="s">
        <v>24</v>
      </c>
      <c r="D8" s="2" t="s">
        <v>45</v>
      </c>
      <c r="E8" s="3" t="s">
        <v>26</v>
      </c>
      <c r="F8" s="2" t="s">
        <v>36</v>
      </c>
      <c r="G8" s="4">
        <v>15303</v>
      </c>
      <c r="H8" s="3"/>
      <c r="I8" s="4">
        <v>1</v>
      </c>
      <c r="J8" s="4">
        <v>15750</v>
      </c>
      <c r="K8" s="4">
        <v>45000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3" t="s">
        <v>27</v>
      </c>
      <c r="U8" s="3" t="s">
        <v>27</v>
      </c>
      <c r="V8" s="3" t="s">
        <v>26</v>
      </c>
    </row>
    <row r="9" spans="1:22" ht="18.75" customHeight="1" x14ac:dyDescent="0.25">
      <c r="A9" s="2" t="s">
        <v>48</v>
      </c>
      <c r="B9" s="2" t="s">
        <v>49</v>
      </c>
      <c r="C9" s="2" t="s">
        <v>50</v>
      </c>
      <c r="D9" s="2" t="s">
        <v>31</v>
      </c>
      <c r="E9" s="3" t="s">
        <v>26</v>
      </c>
      <c r="F9" s="2" t="s">
        <v>36</v>
      </c>
      <c r="G9" s="4">
        <v>0</v>
      </c>
      <c r="H9" s="3"/>
      <c r="I9" s="4">
        <v>1</v>
      </c>
      <c r="J9" s="4">
        <v>0</v>
      </c>
      <c r="K9" s="4">
        <v>0</v>
      </c>
      <c r="L9" s="4"/>
      <c r="M9" s="4"/>
      <c r="N9" s="4"/>
      <c r="O9" s="4"/>
      <c r="P9" s="4"/>
      <c r="Q9" s="4"/>
      <c r="R9" s="4">
        <v>0</v>
      </c>
      <c r="S9" s="4"/>
      <c r="T9" s="3" t="s">
        <v>27</v>
      </c>
      <c r="U9" s="3" t="s">
        <v>27</v>
      </c>
      <c r="V9" s="3" t="s">
        <v>26</v>
      </c>
    </row>
    <row r="10" spans="1:22" ht="18.75" customHeight="1" x14ac:dyDescent="0.25">
      <c r="A10" s="2" t="s">
        <v>51</v>
      </c>
      <c r="B10" s="2" t="s">
        <v>52</v>
      </c>
      <c r="C10" s="2" t="s">
        <v>53</v>
      </c>
      <c r="D10" s="2" t="s">
        <v>31</v>
      </c>
      <c r="E10" s="3" t="s">
        <v>26</v>
      </c>
      <c r="F10" s="2" t="s">
        <v>36</v>
      </c>
      <c r="G10" s="4">
        <v>13000</v>
      </c>
      <c r="H10" s="3"/>
      <c r="I10" s="4">
        <v>1</v>
      </c>
      <c r="J10" s="4">
        <v>13000</v>
      </c>
      <c r="K10" s="4">
        <v>30000</v>
      </c>
      <c r="L10" s="4"/>
      <c r="M10" s="4"/>
      <c r="N10" s="4"/>
      <c r="O10" s="4"/>
      <c r="P10" s="4"/>
      <c r="Q10" s="4"/>
      <c r="R10" s="4">
        <v>0</v>
      </c>
      <c r="S10" s="4"/>
      <c r="T10" s="3" t="s">
        <v>26</v>
      </c>
      <c r="U10" s="3" t="s">
        <v>27</v>
      </c>
      <c r="V10" s="3" t="s">
        <v>26</v>
      </c>
    </row>
    <row r="11" spans="1:22" ht="18.75" customHeight="1" x14ac:dyDescent="0.25">
      <c r="A11" s="2" t="s">
        <v>54</v>
      </c>
      <c r="B11" s="2" t="s">
        <v>55</v>
      </c>
      <c r="C11" s="2" t="s">
        <v>24</v>
      </c>
      <c r="D11" s="2" t="s">
        <v>45</v>
      </c>
      <c r="E11" s="3" t="s">
        <v>26</v>
      </c>
      <c r="F11" s="2" t="s">
        <v>36</v>
      </c>
      <c r="G11" s="4">
        <v>1850</v>
      </c>
      <c r="H11" s="3"/>
      <c r="I11" s="4">
        <v>1</v>
      </c>
      <c r="J11" s="4">
        <v>1850</v>
      </c>
      <c r="K11" s="4">
        <v>20000</v>
      </c>
      <c r="L11" s="4"/>
      <c r="M11" s="4"/>
      <c r="N11" s="4"/>
      <c r="O11" s="4"/>
      <c r="P11" s="4"/>
      <c r="Q11" s="4"/>
      <c r="R11" s="4">
        <v>0</v>
      </c>
      <c r="S11" s="4"/>
      <c r="T11" s="3" t="s">
        <v>27</v>
      </c>
      <c r="U11" s="3" t="s">
        <v>27</v>
      </c>
      <c r="V11" s="3" t="s">
        <v>26</v>
      </c>
    </row>
    <row r="12" spans="1:22" ht="18.75" customHeight="1" x14ac:dyDescent="0.25">
      <c r="A12" s="2" t="s">
        <v>56</v>
      </c>
      <c r="B12" s="2" t="s">
        <v>57</v>
      </c>
      <c r="C12" s="2" t="s">
        <v>24</v>
      </c>
      <c r="D12" s="2" t="s">
        <v>45</v>
      </c>
      <c r="E12" s="3" t="s">
        <v>26</v>
      </c>
      <c r="F12" s="2" t="s">
        <v>36</v>
      </c>
      <c r="G12" s="4">
        <v>5930</v>
      </c>
      <c r="H12" s="3"/>
      <c r="I12" s="4">
        <v>1</v>
      </c>
      <c r="J12" s="4">
        <v>5930</v>
      </c>
      <c r="K12" s="4">
        <v>10000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3" t="s">
        <v>27</v>
      </c>
      <c r="U12" s="3" t="s">
        <v>27</v>
      </c>
      <c r="V12" s="3" t="s">
        <v>26</v>
      </c>
    </row>
    <row r="13" spans="1:22" ht="18.75" customHeight="1" x14ac:dyDescent="0.25">
      <c r="A13" s="2" t="s">
        <v>58</v>
      </c>
      <c r="B13" s="2" t="s">
        <v>59</v>
      </c>
      <c r="C13" s="2" t="s">
        <v>58</v>
      </c>
      <c r="D13" s="2" t="s">
        <v>45</v>
      </c>
      <c r="E13" s="3" t="s">
        <v>26</v>
      </c>
      <c r="F13" s="2" t="s">
        <v>60</v>
      </c>
      <c r="G13" s="4">
        <v>4200</v>
      </c>
      <c r="H13" s="3"/>
      <c r="I13" s="4">
        <v>1</v>
      </c>
      <c r="J13" s="4">
        <v>4200</v>
      </c>
      <c r="K13" s="4">
        <v>10000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3" t="s">
        <v>27</v>
      </c>
      <c r="U13" s="3" t="s">
        <v>27</v>
      </c>
      <c r="V13" s="3" t="s">
        <v>26</v>
      </c>
    </row>
    <row r="14" spans="1:22" ht="18.75" customHeight="1" x14ac:dyDescent="0.25">
      <c r="A14" s="2" t="s">
        <v>61</v>
      </c>
      <c r="B14" s="2" t="s">
        <v>62</v>
      </c>
      <c r="C14" s="2" t="s">
        <v>63</v>
      </c>
      <c r="D14" s="2" t="s">
        <v>25</v>
      </c>
      <c r="E14" s="3" t="s">
        <v>26</v>
      </c>
      <c r="F14" s="2" t="s">
        <v>60</v>
      </c>
      <c r="G14" s="4">
        <v>23000</v>
      </c>
      <c r="H14" s="3"/>
      <c r="I14" s="4">
        <v>1</v>
      </c>
      <c r="J14" s="4">
        <v>23000</v>
      </c>
      <c r="K14" s="4">
        <v>30000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3" t="s">
        <v>26</v>
      </c>
      <c r="U14" s="3" t="s">
        <v>27</v>
      </c>
      <c r="V14" s="3" t="s">
        <v>26</v>
      </c>
    </row>
    <row r="15" spans="1:22" ht="18.75" customHeight="1" x14ac:dyDescent="0.25">
      <c r="A15" s="2" t="s">
        <v>64</v>
      </c>
      <c r="B15" s="2" t="s">
        <v>65</v>
      </c>
      <c r="C15" s="2" t="s">
        <v>66</v>
      </c>
      <c r="D15" s="2" t="s">
        <v>45</v>
      </c>
      <c r="E15" s="3" t="s">
        <v>26</v>
      </c>
      <c r="F15" s="2" t="s">
        <v>60</v>
      </c>
      <c r="G15" s="4">
        <v>95000</v>
      </c>
      <c r="H15" s="3"/>
      <c r="I15" s="4">
        <v>1</v>
      </c>
      <c r="J15" s="4">
        <v>95000</v>
      </c>
      <c r="K15" s="4">
        <v>123500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3" t="s">
        <v>27</v>
      </c>
      <c r="U15" s="3" t="s">
        <v>27</v>
      </c>
      <c r="V15" s="3" t="s">
        <v>26</v>
      </c>
    </row>
    <row r="16" spans="1:22" ht="18.75" customHeight="1" x14ac:dyDescent="0.25">
      <c r="A16" s="2" t="s">
        <v>67</v>
      </c>
      <c r="B16" s="2" t="s">
        <v>68</v>
      </c>
      <c r="C16" s="2" t="s">
        <v>69</v>
      </c>
      <c r="D16" s="2" t="s">
        <v>45</v>
      </c>
      <c r="E16" s="3" t="s">
        <v>26</v>
      </c>
      <c r="F16" s="2" t="s">
        <v>60</v>
      </c>
      <c r="G16" s="4">
        <v>10800</v>
      </c>
      <c r="H16" s="3"/>
      <c r="I16" s="4">
        <v>1</v>
      </c>
      <c r="J16" s="4">
        <v>10800</v>
      </c>
      <c r="K16" s="4">
        <v>20000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3" t="s">
        <v>26</v>
      </c>
      <c r="U16" s="3" t="s">
        <v>27</v>
      </c>
      <c r="V16" s="3" t="s">
        <v>26</v>
      </c>
    </row>
    <row r="17" spans="1:22" ht="18.75" customHeight="1" x14ac:dyDescent="0.25">
      <c r="A17" s="2" t="s">
        <v>70</v>
      </c>
      <c r="B17" s="2" t="s">
        <v>71</v>
      </c>
      <c r="C17" s="2" t="s">
        <v>72</v>
      </c>
      <c r="D17" s="2" t="s">
        <v>45</v>
      </c>
      <c r="E17" s="3" t="s">
        <v>26</v>
      </c>
      <c r="F17" s="2" t="s">
        <v>60</v>
      </c>
      <c r="G17" s="4">
        <v>8784</v>
      </c>
      <c r="H17" s="3"/>
      <c r="I17" s="4">
        <v>1</v>
      </c>
      <c r="J17" s="4">
        <v>8784</v>
      </c>
      <c r="K17" s="4">
        <v>20000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3" t="s">
        <v>26</v>
      </c>
      <c r="U17" s="3" t="s">
        <v>27</v>
      </c>
      <c r="V17" s="3" t="s">
        <v>26</v>
      </c>
    </row>
    <row r="18" spans="1:22" ht="18.75" customHeight="1" x14ac:dyDescent="0.25">
      <c r="A18" s="2" t="s">
        <v>73</v>
      </c>
      <c r="B18" s="2" t="s">
        <v>74</v>
      </c>
      <c r="C18" s="2" t="s">
        <v>75</v>
      </c>
      <c r="D18" s="2" t="s">
        <v>45</v>
      </c>
      <c r="E18" s="3" t="s">
        <v>26</v>
      </c>
      <c r="F18" s="2" t="s">
        <v>60</v>
      </c>
      <c r="G18" s="4">
        <v>7928</v>
      </c>
      <c r="H18" s="3"/>
      <c r="I18" s="4">
        <v>0</v>
      </c>
      <c r="J18" s="4">
        <v>7928</v>
      </c>
      <c r="K18" s="4">
        <v>20000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3" t="s">
        <v>26</v>
      </c>
      <c r="U18" s="3" t="s">
        <v>27</v>
      </c>
      <c r="V18" s="3" t="s">
        <v>26</v>
      </c>
    </row>
    <row r="19" spans="1:22" ht="18.75" customHeight="1" x14ac:dyDescent="0.25">
      <c r="A19" s="2" t="s">
        <v>76</v>
      </c>
      <c r="B19" s="2" t="s">
        <v>77</v>
      </c>
      <c r="C19" s="2" t="s">
        <v>78</v>
      </c>
      <c r="D19" s="2" t="s">
        <v>45</v>
      </c>
      <c r="E19" s="3" t="s">
        <v>26</v>
      </c>
      <c r="F19" s="2" t="s">
        <v>60</v>
      </c>
      <c r="G19" s="4">
        <v>10544</v>
      </c>
      <c r="H19" s="3"/>
      <c r="I19" s="4">
        <v>1</v>
      </c>
      <c r="J19" s="4">
        <v>10544</v>
      </c>
      <c r="K19" s="4">
        <v>20000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3" t="s">
        <v>26</v>
      </c>
      <c r="U19" s="3" t="s">
        <v>27</v>
      </c>
      <c r="V19" s="3" t="s">
        <v>26</v>
      </c>
    </row>
    <row r="20" spans="1:22" ht="18.75" customHeight="1" x14ac:dyDescent="0.25">
      <c r="A20" s="2" t="s">
        <v>79</v>
      </c>
      <c r="B20" s="2" t="s">
        <v>80</v>
      </c>
      <c r="C20" s="2" t="s">
        <v>81</v>
      </c>
      <c r="D20" s="2" t="s">
        <v>45</v>
      </c>
      <c r="E20" s="3" t="s">
        <v>26</v>
      </c>
      <c r="F20" s="2" t="s">
        <v>60</v>
      </c>
      <c r="G20" s="4">
        <v>4800</v>
      </c>
      <c r="H20" s="3"/>
      <c r="I20" s="4">
        <v>0</v>
      </c>
      <c r="J20" s="4">
        <v>4800</v>
      </c>
      <c r="K20" s="4">
        <v>6500</v>
      </c>
      <c r="L20" s="4">
        <v>0</v>
      </c>
      <c r="M20" s="4">
        <v>0</v>
      </c>
      <c r="N20" s="4">
        <v>0</v>
      </c>
      <c r="O20" s="4">
        <v>0</v>
      </c>
      <c r="P20" s="4">
        <v>-1</v>
      </c>
      <c r="Q20" s="4">
        <v>0</v>
      </c>
      <c r="R20" s="4">
        <v>-1</v>
      </c>
      <c r="S20" s="4">
        <v>0</v>
      </c>
      <c r="T20" s="3" t="s">
        <v>27</v>
      </c>
      <c r="U20" s="3" t="s">
        <v>27</v>
      </c>
      <c r="V20" s="3" t="s">
        <v>26</v>
      </c>
    </row>
    <row r="21" spans="1:22" ht="18.75" customHeight="1" x14ac:dyDescent="0.25">
      <c r="A21" s="2" t="s">
        <v>82</v>
      </c>
      <c r="B21" s="2" t="s">
        <v>83</v>
      </c>
      <c r="C21" s="2" t="s">
        <v>84</v>
      </c>
      <c r="D21" s="2" t="s">
        <v>45</v>
      </c>
      <c r="E21" s="3" t="s">
        <v>26</v>
      </c>
      <c r="F21" s="2" t="s">
        <v>60</v>
      </c>
      <c r="G21" s="4">
        <v>5900</v>
      </c>
      <c r="H21" s="3"/>
      <c r="I21" s="4">
        <v>1</v>
      </c>
      <c r="J21" s="4">
        <v>5900</v>
      </c>
      <c r="K21" s="4">
        <v>15000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3" t="s">
        <v>26</v>
      </c>
      <c r="U21" s="3" t="s">
        <v>27</v>
      </c>
      <c r="V21" s="3" t="s">
        <v>26</v>
      </c>
    </row>
    <row r="22" spans="1:22" ht="18.75" customHeight="1" x14ac:dyDescent="0.25">
      <c r="A22" s="2" t="s">
        <v>85</v>
      </c>
      <c r="B22" s="2" t="s">
        <v>85</v>
      </c>
      <c r="C22" s="2" t="s">
        <v>86</v>
      </c>
      <c r="D22" s="2" t="s">
        <v>45</v>
      </c>
      <c r="E22" s="3" t="s">
        <v>26</v>
      </c>
      <c r="F22" s="2" t="s">
        <v>60</v>
      </c>
      <c r="G22" s="4">
        <v>115000</v>
      </c>
      <c r="H22" s="3"/>
      <c r="I22" s="4">
        <v>0</v>
      </c>
      <c r="J22" s="4">
        <v>115000</v>
      </c>
      <c r="K22" s="4">
        <v>149500</v>
      </c>
      <c r="L22" s="4"/>
      <c r="M22" s="4"/>
      <c r="N22" s="4"/>
      <c r="O22" s="4"/>
      <c r="P22" s="4"/>
      <c r="Q22" s="4"/>
      <c r="R22" s="4"/>
      <c r="S22" s="4"/>
      <c r="T22" s="3" t="s">
        <v>26</v>
      </c>
      <c r="U22" s="3" t="s">
        <v>27</v>
      </c>
      <c r="V22" s="3" t="s">
        <v>26</v>
      </c>
    </row>
    <row r="23" spans="1:22" ht="18.75" customHeight="1" x14ac:dyDescent="0.25">
      <c r="A23" s="2" t="s">
        <v>87</v>
      </c>
      <c r="B23" s="2" t="s">
        <v>88</v>
      </c>
      <c r="C23" s="2" t="s">
        <v>89</v>
      </c>
      <c r="D23" s="2" t="s">
        <v>31</v>
      </c>
      <c r="E23" s="3" t="s">
        <v>26</v>
      </c>
      <c r="F23" s="2" t="s">
        <v>60</v>
      </c>
      <c r="G23" s="4">
        <v>14234</v>
      </c>
      <c r="H23" s="3"/>
      <c r="I23" s="4">
        <v>1</v>
      </c>
      <c r="J23" s="4">
        <v>14234</v>
      </c>
      <c r="K23" s="4">
        <v>25000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3" t="s">
        <v>26</v>
      </c>
      <c r="U23" s="3" t="s">
        <v>27</v>
      </c>
      <c r="V23" s="3" t="s">
        <v>26</v>
      </c>
    </row>
    <row r="24" spans="1:22" ht="18.75" customHeight="1" x14ac:dyDescent="0.25">
      <c r="A24" s="2" t="s">
        <v>90</v>
      </c>
      <c r="B24" s="2" t="s">
        <v>91</v>
      </c>
      <c r="C24" s="2" t="s">
        <v>92</v>
      </c>
      <c r="D24" s="2" t="s">
        <v>45</v>
      </c>
      <c r="E24" s="3" t="s">
        <v>26</v>
      </c>
      <c r="F24" s="2" t="s">
        <v>60</v>
      </c>
      <c r="G24" s="4">
        <v>5570</v>
      </c>
      <c r="H24" s="3"/>
      <c r="I24" s="4">
        <v>1</v>
      </c>
      <c r="J24" s="4">
        <v>5570</v>
      </c>
      <c r="K24" s="4">
        <v>15000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3" t="s">
        <v>26</v>
      </c>
      <c r="U24" s="3" t="s">
        <v>27</v>
      </c>
      <c r="V24" s="3" t="s">
        <v>26</v>
      </c>
    </row>
    <row r="25" spans="1:22" ht="18.75" customHeight="1" x14ac:dyDescent="0.25">
      <c r="A25" s="2" t="s">
        <v>93</v>
      </c>
      <c r="B25" s="2" t="s">
        <v>94</v>
      </c>
      <c r="C25" s="2" t="s">
        <v>95</v>
      </c>
      <c r="D25" s="2" t="s">
        <v>45</v>
      </c>
      <c r="E25" s="3" t="s">
        <v>26</v>
      </c>
      <c r="F25" s="2" t="s">
        <v>60</v>
      </c>
      <c r="G25" s="4">
        <v>4601</v>
      </c>
      <c r="H25" s="3"/>
      <c r="I25" s="4">
        <v>1</v>
      </c>
      <c r="J25" s="4">
        <v>4601</v>
      </c>
      <c r="K25" s="4">
        <v>15000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3" t="s">
        <v>26</v>
      </c>
      <c r="U25" s="3" t="s">
        <v>27</v>
      </c>
      <c r="V25" s="3" t="s">
        <v>26</v>
      </c>
    </row>
    <row r="26" spans="1:22" ht="18.75" customHeight="1" x14ac:dyDescent="0.25">
      <c r="A26" s="2" t="s">
        <v>96</v>
      </c>
      <c r="B26" s="2" t="s">
        <v>97</v>
      </c>
      <c r="C26" s="2" t="s">
        <v>98</v>
      </c>
      <c r="D26" s="2" t="s">
        <v>45</v>
      </c>
      <c r="E26" s="3" t="s">
        <v>26</v>
      </c>
      <c r="F26" s="2" t="s">
        <v>60</v>
      </c>
      <c r="G26" s="4">
        <v>9800</v>
      </c>
      <c r="H26" s="3"/>
      <c r="I26" s="4">
        <v>1</v>
      </c>
      <c r="J26" s="4">
        <v>9800</v>
      </c>
      <c r="K26" s="4">
        <v>20000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3" t="s">
        <v>26</v>
      </c>
      <c r="U26" s="3" t="s">
        <v>27</v>
      </c>
      <c r="V26" s="3" t="s">
        <v>26</v>
      </c>
    </row>
    <row r="27" spans="1:22" ht="18.75" customHeight="1" x14ac:dyDescent="0.25">
      <c r="A27" s="2" t="s">
        <v>99</v>
      </c>
      <c r="B27" s="2" t="s">
        <v>100</v>
      </c>
      <c r="C27" s="2" t="s">
        <v>101</v>
      </c>
      <c r="D27" s="2" t="s">
        <v>31</v>
      </c>
      <c r="E27" s="3" t="s">
        <v>26</v>
      </c>
      <c r="F27" s="2" t="s">
        <v>60</v>
      </c>
      <c r="G27" s="4">
        <v>21343</v>
      </c>
      <c r="H27" s="3"/>
      <c r="I27" s="4">
        <v>0</v>
      </c>
      <c r="J27" s="4">
        <v>21343</v>
      </c>
      <c r="K27" s="4">
        <v>30000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3" t="s">
        <v>26</v>
      </c>
      <c r="U27" s="3" t="s">
        <v>27</v>
      </c>
      <c r="V27" s="3" t="s">
        <v>26</v>
      </c>
    </row>
    <row r="28" spans="1:22" ht="18.75" customHeight="1" x14ac:dyDescent="0.25">
      <c r="A28" s="2" t="s">
        <v>102</v>
      </c>
      <c r="B28" s="2" t="s">
        <v>103</v>
      </c>
      <c r="C28" s="2" t="s">
        <v>104</v>
      </c>
      <c r="D28" s="2" t="s">
        <v>45</v>
      </c>
      <c r="E28" s="3" t="s">
        <v>26</v>
      </c>
      <c r="F28" s="2" t="s">
        <v>60</v>
      </c>
      <c r="G28" s="4">
        <v>6000</v>
      </c>
      <c r="H28" s="3"/>
      <c r="I28" s="4">
        <v>1</v>
      </c>
      <c r="J28" s="4">
        <v>6000</v>
      </c>
      <c r="K28" s="4">
        <v>20000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3" t="s">
        <v>26</v>
      </c>
      <c r="U28" s="3" t="s">
        <v>27</v>
      </c>
      <c r="V28" s="3" t="s">
        <v>26</v>
      </c>
    </row>
    <row r="29" spans="1:22" ht="18.75" customHeight="1" x14ac:dyDescent="0.25">
      <c r="A29" s="2" t="s">
        <v>105</v>
      </c>
      <c r="B29" s="2" t="s">
        <v>106</v>
      </c>
      <c r="C29" s="2" t="s">
        <v>107</v>
      </c>
      <c r="D29" s="2" t="s">
        <v>45</v>
      </c>
      <c r="E29" s="3" t="s">
        <v>26</v>
      </c>
      <c r="F29" s="2" t="s">
        <v>60</v>
      </c>
      <c r="G29" s="4">
        <v>4000</v>
      </c>
      <c r="H29" s="3"/>
      <c r="I29" s="4">
        <v>1</v>
      </c>
      <c r="J29" s="4">
        <v>4000</v>
      </c>
      <c r="K29" s="4">
        <v>6000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3" t="s">
        <v>27</v>
      </c>
      <c r="U29" s="3" t="s">
        <v>27</v>
      </c>
      <c r="V29" s="3" t="s">
        <v>26</v>
      </c>
    </row>
    <row r="30" spans="1:22" ht="18.75" customHeight="1" x14ac:dyDescent="0.25">
      <c r="A30" s="2" t="s">
        <v>108</v>
      </c>
      <c r="B30" s="2" t="s">
        <v>108</v>
      </c>
      <c r="C30" s="2" t="s">
        <v>109</v>
      </c>
      <c r="D30" s="2" t="s">
        <v>45</v>
      </c>
      <c r="E30" s="3" t="s">
        <v>26</v>
      </c>
      <c r="F30" s="2" t="s">
        <v>60</v>
      </c>
      <c r="G30" s="4">
        <v>8399</v>
      </c>
      <c r="H30" s="3"/>
      <c r="I30" s="4">
        <v>1</v>
      </c>
      <c r="J30" s="4">
        <v>8399</v>
      </c>
      <c r="K30" s="4">
        <v>20000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3" t="s">
        <v>26</v>
      </c>
      <c r="U30" s="3" t="s">
        <v>27</v>
      </c>
      <c r="V30" s="3" t="s">
        <v>26</v>
      </c>
    </row>
    <row r="31" spans="1:22" ht="18.75" customHeight="1" x14ac:dyDescent="0.25">
      <c r="A31" s="2" t="s">
        <v>110</v>
      </c>
      <c r="B31" s="2" t="s">
        <v>111</v>
      </c>
      <c r="C31" s="2" t="s">
        <v>112</v>
      </c>
      <c r="D31" s="2" t="s">
        <v>31</v>
      </c>
      <c r="E31" s="3" t="s">
        <v>26</v>
      </c>
      <c r="F31" s="2" t="s">
        <v>60</v>
      </c>
      <c r="G31" s="4">
        <v>0</v>
      </c>
      <c r="H31" s="3"/>
      <c r="I31" s="4">
        <v>0</v>
      </c>
      <c r="J31" s="4">
        <v>0</v>
      </c>
      <c r="K31" s="4">
        <v>0</v>
      </c>
      <c r="L31" s="4"/>
      <c r="M31" s="4"/>
      <c r="N31" s="4"/>
      <c r="O31" s="4"/>
      <c r="P31" s="4"/>
      <c r="Q31" s="4"/>
      <c r="R31" s="4">
        <v>0</v>
      </c>
      <c r="S31" s="4"/>
      <c r="T31" s="3" t="s">
        <v>27</v>
      </c>
      <c r="U31" s="3" t="s">
        <v>27</v>
      </c>
      <c r="V31" s="3" t="s">
        <v>26</v>
      </c>
    </row>
    <row r="32" spans="1:22" ht="18.75" customHeight="1" x14ac:dyDescent="0.25">
      <c r="A32" s="2" t="s">
        <v>113</v>
      </c>
      <c r="B32" s="2" t="s">
        <v>114</v>
      </c>
      <c r="C32" s="2" t="s">
        <v>115</v>
      </c>
      <c r="D32" s="2" t="s">
        <v>35</v>
      </c>
      <c r="E32" s="3" t="s">
        <v>26</v>
      </c>
      <c r="F32" s="2" t="s">
        <v>60</v>
      </c>
      <c r="G32" s="4">
        <v>6937</v>
      </c>
      <c r="H32" s="3"/>
      <c r="I32" s="4">
        <v>1</v>
      </c>
      <c r="J32" s="4">
        <v>6937</v>
      </c>
      <c r="K32" s="4">
        <v>20000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3" t="s">
        <v>26</v>
      </c>
      <c r="U32" s="3" t="s">
        <v>27</v>
      </c>
      <c r="V32" s="3" t="s">
        <v>26</v>
      </c>
    </row>
    <row r="33" spans="1:22" ht="18.75" customHeight="1" x14ac:dyDescent="0.25">
      <c r="A33" s="2" t="s">
        <v>116</v>
      </c>
      <c r="B33" s="2" t="s">
        <v>117</v>
      </c>
      <c r="C33" s="2" t="s">
        <v>118</v>
      </c>
      <c r="D33" s="2" t="s">
        <v>35</v>
      </c>
      <c r="E33" s="3" t="s">
        <v>26</v>
      </c>
      <c r="F33" s="2" t="s">
        <v>60</v>
      </c>
      <c r="G33" s="4">
        <v>4550</v>
      </c>
      <c r="H33" s="3"/>
      <c r="I33" s="4">
        <v>1</v>
      </c>
      <c r="J33" s="4">
        <v>4550</v>
      </c>
      <c r="K33" s="4">
        <v>15000</v>
      </c>
      <c r="L33" s="4"/>
      <c r="M33" s="4"/>
      <c r="N33" s="4"/>
      <c r="O33" s="4"/>
      <c r="P33" s="4"/>
      <c r="Q33" s="4"/>
      <c r="R33" s="4">
        <v>0</v>
      </c>
      <c r="S33" s="4"/>
      <c r="T33" s="3" t="s">
        <v>26</v>
      </c>
      <c r="U33" s="3" t="s">
        <v>27</v>
      </c>
      <c r="V33" s="3" t="s">
        <v>26</v>
      </c>
    </row>
    <row r="34" spans="1:22" ht="18.75" customHeight="1" x14ac:dyDescent="0.25">
      <c r="A34" s="2" t="s">
        <v>119</v>
      </c>
      <c r="B34" s="2" t="s">
        <v>120</v>
      </c>
      <c r="C34" s="2" t="s">
        <v>121</v>
      </c>
      <c r="D34" s="2" t="s">
        <v>31</v>
      </c>
      <c r="E34" s="3" t="s">
        <v>26</v>
      </c>
      <c r="F34" s="2" t="s">
        <v>122</v>
      </c>
      <c r="G34" s="4">
        <v>800</v>
      </c>
      <c r="H34" s="3"/>
      <c r="I34" s="4">
        <v>1</v>
      </c>
      <c r="J34" s="4">
        <v>800</v>
      </c>
      <c r="K34" s="4">
        <v>1500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3" t="s">
        <v>27</v>
      </c>
      <c r="U34" s="3" t="s">
        <v>27</v>
      </c>
      <c r="V34" s="3" t="s">
        <v>26</v>
      </c>
    </row>
    <row r="35" spans="1:22" ht="18.75" customHeight="1" x14ac:dyDescent="0.25">
      <c r="A35" s="2" t="s">
        <v>123</v>
      </c>
      <c r="B35" s="2" t="s">
        <v>124</v>
      </c>
      <c r="C35" s="2" t="s">
        <v>125</v>
      </c>
      <c r="D35" s="3"/>
      <c r="E35" s="3" t="s">
        <v>26</v>
      </c>
      <c r="F35" s="2" t="s">
        <v>122</v>
      </c>
      <c r="G35" s="4">
        <v>1</v>
      </c>
      <c r="H35" s="3"/>
      <c r="I35" s="4">
        <v>1</v>
      </c>
      <c r="J35" s="4">
        <v>1</v>
      </c>
      <c r="K35" s="4">
        <v>1.3</v>
      </c>
      <c r="L35" s="4"/>
      <c r="M35" s="4"/>
      <c r="N35" s="4"/>
      <c r="O35" s="4"/>
      <c r="P35" s="4"/>
      <c r="Q35" s="4"/>
      <c r="R35" s="4">
        <v>0</v>
      </c>
      <c r="S35" s="4"/>
      <c r="T35" s="3" t="s">
        <v>27</v>
      </c>
      <c r="U35" s="3" t="s">
        <v>27</v>
      </c>
      <c r="V35" s="3" t="s">
        <v>26</v>
      </c>
    </row>
    <row r="36" spans="1:22" ht="18.75" customHeight="1" x14ac:dyDescent="0.25">
      <c r="A36" s="2" t="s">
        <v>126</v>
      </c>
      <c r="B36" s="2" t="s">
        <v>127</v>
      </c>
      <c r="C36" s="2" t="s">
        <v>128</v>
      </c>
      <c r="D36" s="2" t="s">
        <v>45</v>
      </c>
      <c r="E36" s="3" t="s">
        <v>26</v>
      </c>
      <c r="F36" s="2" t="s">
        <v>129</v>
      </c>
      <c r="G36" s="4">
        <v>512</v>
      </c>
      <c r="H36" s="3"/>
      <c r="I36" s="4">
        <v>0</v>
      </c>
      <c r="J36" s="4">
        <v>512</v>
      </c>
      <c r="K36" s="4">
        <v>1000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3" t="s">
        <v>27</v>
      </c>
      <c r="U36" s="3" t="s">
        <v>27</v>
      </c>
      <c r="V36" s="3" t="s">
        <v>26</v>
      </c>
    </row>
    <row r="37" spans="1:22" ht="18.75" customHeight="1" x14ac:dyDescent="0.25">
      <c r="A37" s="2" t="s">
        <v>130</v>
      </c>
      <c r="B37" s="2" t="s">
        <v>131</v>
      </c>
      <c r="C37" s="2" t="s">
        <v>24</v>
      </c>
      <c r="D37" s="2" t="s">
        <v>45</v>
      </c>
      <c r="E37" s="3" t="s">
        <v>26</v>
      </c>
      <c r="F37" s="2" t="s">
        <v>132</v>
      </c>
      <c r="G37" s="4">
        <v>20000</v>
      </c>
      <c r="H37" s="3"/>
      <c r="I37" s="4">
        <v>1</v>
      </c>
      <c r="J37" s="4">
        <v>20000</v>
      </c>
      <c r="K37" s="4">
        <v>25000</v>
      </c>
      <c r="L37" s="4"/>
      <c r="M37" s="4"/>
      <c r="N37" s="4"/>
      <c r="O37" s="4"/>
      <c r="P37" s="4"/>
      <c r="Q37" s="4"/>
      <c r="R37" s="4">
        <v>0</v>
      </c>
      <c r="S37" s="4"/>
      <c r="T37" s="3" t="s">
        <v>27</v>
      </c>
      <c r="U37" s="3" t="s">
        <v>27</v>
      </c>
      <c r="V37" s="3" t="s">
        <v>26</v>
      </c>
    </row>
    <row r="38" spans="1:22" ht="18.75" customHeight="1" x14ac:dyDescent="0.25">
      <c r="A38" s="2" t="s">
        <v>133</v>
      </c>
      <c r="B38" s="2" t="s">
        <v>134</v>
      </c>
      <c r="C38" s="2" t="s">
        <v>24</v>
      </c>
      <c r="D38" s="2" t="s">
        <v>45</v>
      </c>
      <c r="E38" s="3" t="s">
        <v>26</v>
      </c>
      <c r="F38" s="2" t="s">
        <v>132</v>
      </c>
      <c r="G38" s="4">
        <v>20000</v>
      </c>
      <c r="H38" s="3"/>
      <c r="I38" s="4">
        <v>1</v>
      </c>
      <c r="J38" s="4">
        <v>20000</v>
      </c>
      <c r="K38" s="4">
        <v>25000</v>
      </c>
      <c r="L38" s="4"/>
      <c r="M38" s="4"/>
      <c r="N38" s="4"/>
      <c r="O38" s="4"/>
      <c r="P38" s="4"/>
      <c r="Q38" s="4"/>
      <c r="R38" s="4">
        <v>0</v>
      </c>
      <c r="S38" s="4"/>
      <c r="T38" s="3" t="s">
        <v>27</v>
      </c>
      <c r="U38" s="3" t="s">
        <v>27</v>
      </c>
      <c r="V38" s="3" t="s">
        <v>26</v>
      </c>
    </row>
    <row r="39" spans="1:22" ht="18.75" customHeight="1" x14ac:dyDescent="0.25">
      <c r="A39" s="2" t="s">
        <v>135</v>
      </c>
      <c r="B39" s="2" t="s">
        <v>136</v>
      </c>
      <c r="C39" s="2" t="s">
        <v>137</v>
      </c>
      <c r="D39" s="2" t="s">
        <v>45</v>
      </c>
      <c r="E39" s="3" t="s">
        <v>26</v>
      </c>
      <c r="F39" s="2" t="s">
        <v>132</v>
      </c>
      <c r="G39" s="4">
        <v>250</v>
      </c>
      <c r="H39" s="3"/>
      <c r="I39" s="4">
        <v>1</v>
      </c>
      <c r="J39" s="4">
        <v>250</v>
      </c>
      <c r="K39" s="4">
        <v>2000</v>
      </c>
      <c r="L39" s="4"/>
      <c r="M39" s="4"/>
      <c r="N39" s="4"/>
      <c r="O39" s="4"/>
      <c r="P39" s="4"/>
      <c r="Q39" s="4"/>
      <c r="R39" s="4">
        <v>0</v>
      </c>
      <c r="S39" s="4"/>
      <c r="T39" s="3" t="s">
        <v>27</v>
      </c>
      <c r="U39" s="3" t="s">
        <v>27</v>
      </c>
      <c r="V39" s="3" t="s">
        <v>26</v>
      </c>
    </row>
    <row r="40" spans="1:22" ht="18.75" customHeight="1" x14ac:dyDescent="0.25">
      <c r="A40" s="2" t="s">
        <v>138</v>
      </c>
      <c r="B40" s="2" t="s">
        <v>139</v>
      </c>
      <c r="C40" s="2" t="s">
        <v>140</v>
      </c>
      <c r="D40" s="2" t="s">
        <v>31</v>
      </c>
      <c r="E40" s="3" t="s">
        <v>26</v>
      </c>
      <c r="F40" s="2" t="s">
        <v>132</v>
      </c>
      <c r="G40" s="4">
        <v>1064</v>
      </c>
      <c r="H40" s="3"/>
      <c r="I40" s="4">
        <v>1</v>
      </c>
      <c r="J40" s="4">
        <v>1064</v>
      </c>
      <c r="K40" s="4">
        <v>1500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3" t="s">
        <v>27</v>
      </c>
      <c r="U40" s="3" t="s">
        <v>27</v>
      </c>
      <c r="V40" s="3" t="s">
        <v>26</v>
      </c>
    </row>
    <row r="41" spans="1:22" ht="18.75" customHeight="1" x14ac:dyDescent="0.25">
      <c r="A41" s="2" t="s">
        <v>141</v>
      </c>
      <c r="B41" s="2" t="s">
        <v>142</v>
      </c>
      <c r="C41" s="2" t="s">
        <v>143</v>
      </c>
      <c r="D41" s="2" t="s">
        <v>45</v>
      </c>
      <c r="E41" s="3" t="s">
        <v>26</v>
      </c>
      <c r="F41" s="2" t="s">
        <v>132</v>
      </c>
      <c r="G41" s="4">
        <v>204</v>
      </c>
      <c r="H41" s="3"/>
      <c r="I41" s="4">
        <v>1</v>
      </c>
      <c r="J41" s="4">
        <v>204</v>
      </c>
      <c r="K41" s="4">
        <v>1000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3" t="s">
        <v>27</v>
      </c>
      <c r="U41" s="3" t="s">
        <v>27</v>
      </c>
      <c r="V41" s="3" t="s">
        <v>26</v>
      </c>
    </row>
    <row r="42" spans="1:22" ht="18.75" customHeight="1" x14ac:dyDescent="0.25">
      <c r="A42" s="2" t="s">
        <v>144</v>
      </c>
      <c r="B42" s="2" t="s">
        <v>145</v>
      </c>
      <c r="C42" s="2" t="s">
        <v>95</v>
      </c>
      <c r="D42" s="2" t="s">
        <v>45</v>
      </c>
      <c r="E42" s="3" t="s">
        <v>26</v>
      </c>
      <c r="F42" s="2" t="s">
        <v>132</v>
      </c>
      <c r="G42" s="4">
        <v>810</v>
      </c>
      <c r="H42" s="3"/>
      <c r="I42" s="4">
        <v>1</v>
      </c>
      <c r="J42" s="4">
        <v>405.45</v>
      </c>
      <c r="K42" s="4">
        <v>1250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3" t="s">
        <v>27</v>
      </c>
      <c r="U42" s="3" t="s">
        <v>27</v>
      </c>
      <c r="V42" s="3" t="s">
        <v>26</v>
      </c>
    </row>
    <row r="43" spans="1:22" ht="18.75" customHeight="1" x14ac:dyDescent="0.25">
      <c r="A43" s="2" t="s">
        <v>146</v>
      </c>
      <c r="B43" s="2" t="s">
        <v>147</v>
      </c>
      <c r="C43" s="2" t="s">
        <v>148</v>
      </c>
      <c r="D43" s="2" t="s">
        <v>45</v>
      </c>
      <c r="E43" s="3" t="s">
        <v>26</v>
      </c>
      <c r="F43" s="2" t="s">
        <v>132</v>
      </c>
      <c r="G43" s="4">
        <v>157</v>
      </c>
      <c r="H43" s="3"/>
      <c r="I43" s="4">
        <v>1</v>
      </c>
      <c r="J43" s="4">
        <v>159.97</v>
      </c>
      <c r="K43" s="4">
        <v>1000</v>
      </c>
      <c r="L43" s="4"/>
      <c r="M43" s="4"/>
      <c r="N43" s="4"/>
      <c r="O43" s="4"/>
      <c r="P43" s="4"/>
      <c r="Q43" s="4"/>
      <c r="R43" s="4">
        <v>0</v>
      </c>
      <c r="S43" s="4"/>
      <c r="T43" s="3" t="s">
        <v>27</v>
      </c>
      <c r="U43" s="3" t="s">
        <v>27</v>
      </c>
      <c r="V43" s="3" t="s">
        <v>26</v>
      </c>
    </row>
    <row r="44" spans="1:22" ht="18.75" customHeight="1" x14ac:dyDescent="0.25">
      <c r="A44" s="2" t="s">
        <v>149</v>
      </c>
      <c r="B44" s="2" t="s">
        <v>150</v>
      </c>
      <c r="C44" s="2" t="s">
        <v>151</v>
      </c>
      <c r="D44" s="2" t="s">
        <v>45</v>
      </c>
      <c r="E44" s="3" t="s">
        <v>26</v>
      </c>
      <c r="F44" s="2" t="s">
        <v>132</v>
      </c>
      <c r="G44" s="4">
        <v>95</v>
      </c>
      <c r="H44" s="3"/>
      <c r="I44" s="4">
        <v>1</v>
      </c>
      <c r="J44" s="4">
        <v>95</v>
      </c>
      <c r="K44" s="4">
        <v>500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3" t="s">
        <v>27</v>
      </c>
      <c r="U44" s="3" t="s">
        <v>27</v>
      </c>
      <c r="V44" s="3" t="s">
        <v>26</v>
      </c>
    </row>
    <row r="45" spans="1:22" ht="18.75" customHeight="1" x14ac:dyDescent="0.25">
      <c r="A45" s="2" t="s">
        <v>152</v>
      </c>
      <c r="B45" s="2" t="s">
        <v>153</v>
      </c>
      <c r="C45" s="2" t="s">
        <v>154</v>
      </c>
      <c r="D45" s="2" t="s">
        <v>35</v>
      </c>
      <c r="E45" s="3" t="s">
        <v>26</v>
      </c>
      <c r="F45" s="2" t="s">
        <v>132</v>
      </c>
      <c r="G45" s="4">
        <v>250</v>
      </c>
      <c r="H45" s="3"/>
      <c r="I45" s="4">
        <v>1</v>
      </c>
      <c r="J45" s="4">
        <v>250</v>
      </c>
      <c r="K45" s="4">
        <v>750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3" t="s">
        <v>27</v>
      </c>
      <c r="U45" s="3" t="s">
        <v>27</v>
      </c>
      <c r="V45" s="3" t="s">
        <v>26</v>
      </c>
    </row>
    <row r="46" spans="1:22" ht="18.75" customHeight="1" x14ac:dyDescent="0.25">
      <c r="A46" s="2" t="s">
        <v>155</v>
      </c>
      <c r="B46" s="2" t="s">
        <v>156</v>
      </c>
      <c r="C46" s="2" t="s">
        <v>157</v>
      </c>
      <c r="D46" s="2" t="s">
        <v>45</v>
      </c>
      <c r="E46" s="3" t="s">
        <v>26</v>
      </c>
      <c r="F46" s="2" t="s">
        <v>132</v>
      </c>
      <c r="G46" s="4">
        <v>1625</v>
      </c>
      <c r="H46" s="3"/>
      <c r="I46" s="4">
        <v>1</v>
      </c>
      <c r="J46" s="4">
        <v>1625</v>
      </c>
      <c r="K46" s="4">
        <v>2500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3" t="s">
        <v>27</v>
      </c>
      <c r="U46" s="3" t="s">
        <v>27</v>
      </c>
      <c r="V46" s="3" t="s">
        <v>26</v>
      </c>
    </row>
    <row r="47" spans="1:22" ht="18.75" customHeight="1" x14ac:dyDescent="0.25">
      <c r="A47" s="2" t="s">
        <v>158</v>
      </c>
      <c r="B47" s="2" t="s">
        <v>159</v>
      </c>
      <c r="C47" s="2" t="s">
        <v>160</v>
      </c>
      <c r="D47" s="2" t="s">
        <v>45</v>
      </c>
      <c r="E47" s="3" t="s">
        <v>26</v>
      </c>
      <c r="F47" s="2" t="s">
        <v>132</v>
      </c>
      <c r="G47" s="4">
        <v>227</v>
      </c>
      <c r="H47" s="3"/>
      <c r="I47" s="4">
        <v>1</v>
      </c>
      <c r="J47" s="4">
        <v>227</v>
      </c>
      <c r="K47" s="4">
        <v>500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3" t="s">
        <v>27</v>
      </c>
      <c r="U47" s="3" t="s">
        <v>27</v>
      </c>
      <c r="V47" s="3" t="s">
        <v>26</v>
      </c>
    </row>
    <row r="48" spans="1:22" ht="18.75" customHeight="1" x14ac:dyDescent="0.25">
      <c r="A48" s="2" t="s">
        <v>161</v>
      </c>
      <c r="B48" s="2" t="s">
        <v>162</v>
      </c>
      <c r="C48" s="2" t="s">
        <v>163</v>
      </c>
      <c r="D48" s="2" t="s">
        <v>45</v>
      </c>
      <c r="E48" s="3" t="s">
        <v>26</v>
      </c>
      <c r="F48" s="2" t="s">
        <v>132</v>
      </c>
      <c r="G48" s="4">
        <v>525</v>
      </c>
      <c r="H48" s="3"/>
      <c r="I48" s="4">
        <v>1</v>
      </c>
      <c r="J48" s="4">
        <v>525.04</v>
      </c>
      <c r="K48" s="4">
        <v>2500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3" t="s">
        <v>26</v>
      </c>
      <c r="U48" s="3" t="s">
        <v>27</v>
      </c>
      <c r="V48" s="3" t="s">
        <v>26</v>
      </c>
    </row>
    <row r="49" spans="1:22" ht="18.75" customHeight="1" x14ac:dyDescent="0.25">
      <c r="A49" s="2" t="s">
        <v>164</v>
      </c>
      <c r="B49" s="2" t="s">
        <v>165</v>
      </c>
      <c r="C49" s="2" t="s">
        <v>24</v>
      </c>
      <c r="D49" s="2" t="s">
        <v>45</v>
      </c>
      <c r="E49" s="3" t="s">
        <v>26</v>
      </c>
      <c r="F49" s="2" t="s">
        <v>132</v>
      </c>
      <c r="G49" s="4">
        <v>10625</v>
      </c>
      <c r="H49" s="3"/>
      <c r="I49" s="4">
        <v>1</v>
      </c>
      <c r="J49" s="4">
        <v>10625</v>
      </c>
      <c r="K49" s="4">
        <v>25000</v>
      </c>
      <c r="L49" s="4"/>
      <c r="M49" s="4"/>
      <c r="N49" s="4"/>
      <c r="O49" s="4"/>
      <c r="P49" s="4"/>
      <c r="Q49" s="4"/>
      <c r="R49" s="4">
        <v>0</v>
      </c>
      <c r="S49" s="4"/>
      <c r="T49" s="3" t="s">
        <v>27</v>
      </c>
      <c r="U49" s="3" t="s">
        <v>27</v>
      </c>
      <c r="V49" s="3" t="s">
        <v>26</v>
      </c>
    </row>
    <row r="50" spans="1:22" ht="18.75" customHeight="1" x14ac:dyDescent="0.25">
      <c r="A50" s="2" t="s">
        <v>166</v>
      </c>
      <c r="B50" s="2" t="s">
        <v>167</v>
      </c>
      <c r="C50" s="2" t="s">
        <v>168</v>
      </c>
      <c r="D50" s="2" t="s">
        <v>45</v>
      </c>
      <c r="E50" s="3" t="s">
        <v>26</v>
      </c>
      <c r="F50" s="2" t="s">
        <v>132</v>
      </c>
      <c r="G50" s="4">
        <v>472</v>
      </c>
      <c r="H50" s="3"/>
      <c r="I50" s="4">
        <v>1</v>
      </c>
      <c r="J50" s="4">
        <v>472</v>
      </c>
      <c r="K50" s="4">
        <v>1000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3" t="s">
        <v>27</v>
      </c>
      <c r="U50" s="3" t="s">
        <v>27</v>
      </c>
      <c r="V50" s="3" t="s">
        <v>26</v>
      </c>
    </row>
    <row r="51" spans="1:22" ht="18.75" customHeight="1" x14ac:dyDescent="0.25">
      <c r="A51" s="2" t="s">
        <v>169</v>
      </c>
      <c r="B51" s="2" t="s">
        <v>170</v>
      </c>
      <c r="C51" s="2" t="s">
        <v>171</v>
      </c>
      <c r="D51" s="2" t="s">
        <v>45</v>
      </c>
      <c r="E51" s="3" t="s">
        <v>26</v>
      </c>
      <c r="F51" s="2" t="s">
        <v>132</v>
      </c>
      <c r="G51" s="4">
        <v>85</v>
      </c>
      <c r="H51" s="3"/>
      <c r="I51" s="4">
        <v>1</v>
      </c>
      <c r="J51" s="4">
        <v>85</v>
      </c>
      <c r="K51" s="4">
        <v>250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3" t="s">
        <v>27</v>
      </c>
      <c r="U51" s="3" t="s">
        <v>27</v>
      </c>
      <c r="V51" s="3" t="s">
        <v>26</v>
      </c>
    </row>
    <row r="52" spans="1:22" ht="18.75" customHeight="1" x14ac:dyDescent="0.25">
      <c r="A52" s="2" t="s">
        <v>172</v>
      </c>
      <c r="B52" s="2" t="s">
        <v>173</v>
      </c>
      <c r="C52" s="2" t="s">
        <v>174</v>
      </c>
      <c r="D52" s="2" t="s">
        <v>45</v>
      </c>
      <c r="E52" s="3" t="s">
        <v>26</v>
      </c>
      <c r="F52" s="2" t="s">
        <v>132</v>
      </c>
      <c r="G52" s="4">
        <v>1650</v>
      </c>
      <c r="H52" s="3"/>
      <c r="I52" s="4">
        <v>1</v>
      </c>
      <c r="J52" s="4">
        <v>1650</v>
      </c>
      <c r="K52" s="4">
        <v>30000</v>
      </c>
      <c r="L52" s="4"/>
      <c r="M52" s="4"/>
      <c r="N52" s="4"/>
      <c r="O52" s="4"/>
      <c r="P52" s="4"/>
      <c r="Q52" s="4"/>
      <c r="R52" s="4">
        <v>0</v>
      </c>
      <c r="S52" s="4"/>
      <c r="T52" s="3" t="s">
        <v>27</v>
      </c>
      <c r="U52" s="3" t="s">
        <v>27</v>
      </c>
      <c r="V52" s="3" t="s">
        <v>26</v>
      </c>
    </row>
    <row r="53" spans="1:22" ht="18.75" customHeight="1" x14ac:dyDescent="0.25">
      <c r="A53" s="2" t="s">
        <v>175</v>
      </c>
      <c r="B53" s="2" t="s">
        <v>176</v>
      </c>
      <c r="C53" s="2" t="s">
        <v>177</v>
      </c>
      <c r="D53" s="2" t="s">
        <v>45</v>
      </c>
      <c r="E53" s="3" t="s">
        <v>26</v>
      </c>
      <c r="F53" s="2" t="s">
        <v>132</v>
      </c>
      <c r="G53" s="4">
        <v>500</v>
      </c>
      <c r="H53" s="3"/>
      <c r="I53" s="4">
        <v>1</v>
      </c>
      <c r="J53" s="4">
        <v>500</v>
      </c>
      <c r="K53" s="4">
        <v>1000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-1</v>
      </c>
      <c r="R53" s="4">
        <v>0</v>
      </c>
      <c r="S53" s="4">
        <v>-1</v>
      </c>
      <c r="T53" s="3" t="s">
        <v>27</v>
      </c>
      <c r="U53" s="3" t="s">
        <v>27</v>
      </c>
      <c r="V53" s="3" t="s">
        <v>26</v>
      </c>
    </row>
    <row r="54" spans="1:22" ht="18.75" customHeight="1" x14ac:dyDescent="0.25">
      <c r="A54" s="2" t="s">
        <v>178</v>
      </c>
      <c r="B54" s="2" t="s">
        <v>179</v>
      </c>
      <c r="C54" s="2" t="s">
        <v>180</v>
      </c>
      <c r="D54" s="2" t="s">
        <v>45</v>
      </c>
      <c r="E54" s="3" t="s">
        <v>26</v>
      </c>
      <c r="F54" s="2" t="s">
        <v>132</v>
      </c>
      <c r="G54" s="4">
        <v>255</v>
      </c>
      <c r="H54" s="3"/>
      <c r="I54" s="4">
        <v>1</v>
      </c>
      <c r="J54" s="4">
        <v>225</v>
      </c>
      <c r="K54" s="4">
        <v>1500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3" t="s">
        <v>27</v>
      </c>
      <c r="U54" s="3" t="s">
        <v>27</v>
      </c>
      <c r="V54" s="3" t="s">
        <v>26</v>
      </c>
    </row>
    <row r="55" spans="1:22" ht="18.75" customHeight="1" x14ac:dyDescent="0.25">
      <c r="A55" s="2" t="s">
        <v>181</v>
      </c>
      <c r="B55" s="2" t="s">
        <v>182</v>
      </c>
      <c r="C55" s="2" t="s">
        <v>183</v>
      </c>
      <c r="D55" s="2" t="s">
        <v>45</v>
      </c>
      <c r="E55" s="3" t="s">
        <v>26</v>
      </c>
      <c r="F55" s="2" t="s">
        <v>132</v>
      </c>
      <c r="G55" s="4">
        <v>300</v>
      </c>
      <c r="H55" s="3"/>
      <c r="I55" s="4">
        <v>1</v>
      </c>
      <c r="J55" s="4">
        <v>284.99</v>
      </c>
      <c r="K55" s="4">
        <v>1000</v>
      </c>
      <c r="L55" s="4"/>
      <c r="M55" s="4"/>
      <c r="N55" s="4"/>
      <c r="O55" s="4"/>
      <c r="P55" s="4"/>
      <c r="Q55" s="4"/>
      <c r="R55" s="4">
        <v>0</v>
      </c>
      <c r="S55" s="4"/>
      <c r="T55" s="3" t="s">
        <v>27</v>
      </c>
      <c r="U55" s="3" t="s">
        <v>27</v>
      </c>
      <c r="V55" s="3" t="s">
        <v>26</v>
      </c>
    </row>
    <row r="56" spans="1:22" ht="18.75" customHeight="1" x14ac:dyDescent="0.25">
      <c r="A56" s="2" t="s">
        <v>184</v>
      </c>
      <c r="B56" s="2" t="s">
        <v>185</v>
      </c>
      <c r="C56" s="2" t="s">
        <v>24</v>
      </c>
      <c r="D56" s="2" t="s">
        <v>45</v>
      </c>
      <c r="E56" s="3" t="s">
        <v>26</v>
      </c>
      <c r="F56" s="2" t="s">
        <v>132</v>
      </c>
      <c r="G56" s="4">
        <v>500</v>
      </c>
      <c r="H56" s="3"/>
      <c r="I56" s="4">
        <v>1</v>
      </c>
      <c r="J56" s="4">
        <v>500</v>
      </c>
      <c r="K56" s="4">
        <v>2500</v>
      </c>
      <c r="L56" s="4"/>
      <c r="M56" s="4"/>
      <c r="N56" s="4"/>
      <c r="O56" s="4"/>
      <c r="P56" s="4"/>
      <c r="Q56" s="4"/>
      <c r="R56" s="4">
        <v>0</v>
      </c>
      <c r="S56" s="4"/>
      <c r="T56" s="3" t="s">
        <v>27</v>
      </c>
      <c r="U56" s="3" t="s">
        <v>27</v>
      </c>
      <c r="V56" s="3" t="s">
        <v>26</v>
      </c>
    </row>
    <row r="57" spans="1:22" ht="18.75" customHeight="1" x14ac:dyDescent="0.25">
      <c r="A57" s="2" t="s">
        <v>186</v>
      </c>
      <c r="B57" s="2" t="s">
        <v>187</v>
      </c>
      <c r="C57" s="2" t="s">
        <v>160</v>
      </c>
      <c r="D57" s="2" t="s">
        <v>45</v>
      </c>
      <c r="E57" s="3" t="s">
        <v>26</v>
      </c>
      <c r="F57" s="2" t="s">
        <v>132</v>
      </c>
      <c r="G57" s="4">
        <v>650</v>
      </c>
      <c r="H57" s="3"/>
      <c r="I57" s="4">
        <v>1</v>
      </c>
      <c r="J57" s="4">
        <v>650</v>
      </c>
      <c r="K57" s="4">
        <v>2000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3" t="s">
        <v>26</v>
      </c>
      <c r="U57" s="3" t="s">
        <v>27</v>
      </c>
      <c r="V57" s="3" t="s">
        <v>26</v>
      </c>
    </row>
    <row r="58" spans="1:22" ht="18.75" customHeight="1" x14ac:dyDescent="0.25">
      <c r="A58" s="2" t="s">
        <v>188</v>
      </c>
      <c r="B58" s="2" t="s">
        <v>189</v>
      </c>
      <c r="C58" s="2" t="s">
        <v>190</v>
      </c>
      <c r="D58" s="2" t="s">
        <v>45</v>
      </c>
      <c r="E58" s="3" t="s">
        <v>26</v>
      </c>
      <c r="F58" s="2" t="s">
        <v>132</v>
      </c>
      <c r="G58" s="4">
        <v>310</v>
      </c>
      <c r="H58" s="3"/>
      <c r="I58" s="4">
        <v>1</v>
      </c>
      <c r="J58" s="4">
        <v>310</v>
      </c>
      <c r="K58" s="4">
        <v>2000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3" t="s">
        <v>26</v>
      </c>
      <c r="U58" s="3" t="s">
        <v>27</v>
      </c>
      <c r="V58" s="3" t="s">
        <v>26</v>
      </c>
    </row>
    <row r="59" spans="1:22" ht="18.75" customHeight="1" x14ac:dyDescent="0.25">
      <c r="A59" s="2" t="s">
        <v>191</v>
      </c>
      <c r="B59" s="2" t="s">
        <v>192</v>
      </c>
      <c r="C59" s="2" t="s">
        <v>92</v>
      </c>
      <c r="D59" s="2" t="s">
        <v>45</v>
      </c>
      <c r="E59" s="3" t="s">
        <v>26</v>
      </c>
      <c r="F59" s="2" t="s">
        <v>132</v>
      </c>
      <c r="G59" s="4">
        <v>250</v>
      </c>
      <c r="H59" s="3"/>
      <c r="I59" s="4">
        <v>1</v>
      </c>
      <c r="J59" s="4">
        <v>250</v>
      </c>
      <c r="K59" s="4">
        <v>1500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3" t="s">
        <v>26</v>
      </c>
      <c r="U59" s="3" t="s">
        <v>27</v>
      </c>
      <c r="V59" s="3" t="s">
        <v>26</v>
      </c>
    </row>
    <row r="60" spans="1:22" ht="18.75" customHeight="1" x14ac:dyDescent="0.25">
      <c r="A60" s="2" t="s">
        <v>193</v>
      </c>
      <c r="B60" s="2" t="s">
        <v>194</v>
      </c>
      <c r="C60" s="2" t="s">
        <v>195</v>
      </c>
      <c r="D60" s="2" t="s">
        <v>45</v>
      </c>
      <c r="E60" s="3" t="s">
        <v>26</v>
      </c>
      <c r="F60" s="2" t="s">
        <v>132</v>
      </c>
      <c r="G60" s="4">
        <v>210</v>
      </c>
      <c r="H60" s="3"/>
      <c r="I60" s="4">
        <v>1</v>
      </c>
      <c r="J60" s="4">
        <v>215.02</v>
      </c>
      <c r="K60" s="4">
        <v>1500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3" t="s">
        <v>27</v>
      </c>
      <c r="U60" s="3" t="s">
        <v>27</v>
      </c>
      <c r="V60" s="3" t="s">
        <v>26</v>
      </c>
    </row>
    <row r="61" spans="1:22" ht="18.75" customHeight="1" x14ac:dyDescent="0.25">
      <c r="A61" s="2" t="s">
        <v>196</v>
      </c>
      <c r="B61" s="2" t="s">
        <v>197</v>
      </c>
      <c r="C61" s="2" t="s">
        <v>24</v>
      </c>
      <c r="D61" s="2" t="s">
        <v>45</v>
      </c>
      <c r="E61" s="3" t="s">
        <v>26</v>
      </c>
      <c r="F61" s="2" t="s">
        <v>132</v>
      </c>
      <c r="G61" s="4">
        <v>3000</v>
      </c>
      <c r="H61" s="3"/>
      <c r="I61" s="4">
        <v>1</v>
      </c>
      <c r="J61" s="4">
        <v>3000</v>
      </c>
      <c r="K61" s="4">
        <v>15000</v>
      </c>
      <c r="L61" s="4"/>
      <c r="M61" s="4"/>
      <c r="N61" s="4"/>
      <c r="O61" s="4"/>
      <c r="P61" s="4"/>
      <c r="Q61" s="4"/>
      <c r="R61" s="4">
        <v>0</v>
      </c>
      <c r="S61" s="4"/>
      <c r="T61" s="3" t="s">
        <v>27</v>
      </c>
      <c r="U61" s="3" t="s">
        <v>27</v>
      </c>
      <c r="V61" s="3" t="s">
        <v>26</v>
      </c>
    </row>
    <row r="62" spans="1:22" ht="18.75" customHeight="1" x14ac:dyDescent="0.25">
      <c r="A62" s="2" t="s">
        <v>198</v>
      </c>
      <c r="B62" s="2" t="s">
        <v>199</v>
      </c>
      <c r="C62" s="2" t="s">
        <v>24</v>
      </c>
      <c r="D62" s="2" t="s">
        <v>45</v>
      </c>
      <c r="E62" s="3" t="s">
        <v>26</v>
      </c>
      <c r="F62" s="2" t="s">
        <v>132</v>
      </c>
      <c r="G62" s="4">
        <v>6500</v>
      </c>
      <c r="H62" s="3"/>
      <c r="I62" s="4">
        <v>1</v>
      </c>
      <c r="J62" s="4">
        <v>6500</v>
      </c>
      <c r="K62" s="4">
        <v>25000</v>
      </c>
      <c r="L62" s="4"/>
      <c r="M62" s="4"/>
      <c r="N62" s="4"/>
      <c r="O62" s="4"/>
      <c r="P62" s="4"/>
      <c r="Q62" s="4"/>
      <c r="R62" s="4">
        <v>0</v>
      </c>
      <c r="S62" s="4"/>
      <c r="T62" s="3" t="s">
        <v>27</v>
      </c>
      <c r="U62" s="3" t="s">
        <v>27</v>
      </c>
      <c r="V62" s="3" t="s">
        <v>26</v>
      </c>
    </row>
    <row r="63" spans="1:22" ht="18.75" customHeight="1" x14ac:dyDescent="0.25">
      <c r="A63" s="2" t="s">
        <v>200</v>
      </c>
      <c r="B63" s="2" t="s">
        <v>201</v>
      </c>
      <c r="C63" s="2" t="s">
        <v>24</v>
      </c>
      <c r="D63" s="2" t="s">
        <v>45</v>
      </c>
      <c r="E63" s="3" t="s">
        <v>26</v>
      </c>
      <c r="F63" s="2" t="s">
        <v>132</v>
      </c>
      <c r="G63" s="4">
        <v>3500</v>
      </c>
      <c r="H63" s="3"/>
      <c r="I63" s="4">
        <v>1</v>
      </c>
      <c r="J63" s="4">
        <v>3500</v>
      </c>
      <c r="K63" s="4">
        <v>25000</v>
      </c>
      <c r="L63" s="4"/>
      <c r="M63" s="4"/>
      <c r="N63" s="4"/>
      <c r="O63" s="4"/>
      <c r="P63" s="4"/>
      <c r="Q63" s="4"/>
      <c r="R63" s="4">
        <v>0</v>
      </c>
      <c r="S63" s="4"/>
      <c r="T63" s="3" t="s">
        <v>27</v>
      </c>
      <c r="U63" s="3" t="s">
        <v>27</v>
      </c>
      <c r="V63" s="3" t="s">
        <v>26</v>
      </c>
    </row>
    <row r="64" spans="1:22" ht="18.75" customHeight="1" x14ac:dyDescent="0.25">
      <c r="A64" s="2" t="s">
        <v>202</v>
      </c>
      <c r="B64" s="2" t="s">
        <v>203</v>
      </c>
      <c r="C64" s="2" t="s">
        <v>24</v>
      </c>
      <c r="D64" s="2" t="s">
        <v>45</v>
      </c>
      <c r="E64" s="3" t="s">
        <v>26</v>
      </c>
      <c r="F64" s="2" t="s">
        <v>132</v>
      </c>
      <c r="G64" s="4">
        <v>6500</v>
      </c>
      <c r="H64" s="3"/>
      <c r="I64" s="4">
        <v>1</v>
      </c>
      <c r="J64" s="4">
        <v>6500</v>
      </c>
      <c r="K64" s="4">
        <v>20000</v>
      </c>
      <c r="L64" s="4"/>
      <c r="M64" s="4"/>
      <c r="N64" s="4"/>
      <c r="O64" s="4"/>
      <c r="P64" s="4"/>
      <c r="Q64" s="4"/>
      <c r="R64" s="4">
        <v>0</v>
      </c>
      <c r="S64" s="4"/>
      <c r="T64" s="3" t="s">
        <v>27</v>
      </c>
      <c r="U64" s="3" t="s">
        <v>27</v>
      </c>
      <c r="V64" s="3" t="s">
        <v>26</v>
      </c>
    </row>
    <row r="65" spans="1:22" ht="18.75" customHeight="1" x14ac:dyDescent="0.25">
      <c r="A65" s="2" t="s">
        <v>204</v>
      </c>
      <c r="B65" s="2" t="s">
        <v>205</v>
      </c>
      <c r="C65" s="2" t="s">
        <v>206</v>
      </c>
      <c r="D65" s="2" t="s">
        <v>45</v>
      </c>
      <c r="E65" s="3" t="s">
        <v>26</v>
      </c>
      <c r="F65" s="2" t="s">
        <v>132</v>
      </c>
      <c r="G65" s="4">
        <v>780</v>
      </c>
      <c r="H65" s="3"/>
      <c r="I65" s="4">
        <v>1</v>
      </c>
      <c r="J65" s="4">
        <v>270.01</v>
      </c>
      <c r="K65" s="4">
        <v>1500</v>
      </c>
      <c r="L65" s="4"/>
      <c r="M65" s="4"/>
      <c r="N65" s="4"/>
      <c r="O65" s="4"/>
      <c r="P65" s="4"/>
      <c r="Q65" s="4"/>
      <c r="R65" s="4">
        <v>0</v>
      </c>
      <c r="S65" s="4"/>
      <c r="T65" s="3" t="s">
        <v>27</v>
      </c>
      <c r="U65" s="3" t="s">
        <v>27</v>
      </c>
      <c r="V65" s="3" t="s">
        <v>26</v>
      </c>
    </row>
    <row r="66" spans="1:22" ht="18.75" customHeight="1" x14ac:dyDescent="0.25">
      <c r="A66" s="2" t="s">
        <v>207</v>
      </c>
      <c r="B66" s="2" t="s">
        <v>208</v>
      </c>
      <c r="C66" s="2" t="s">
        <v>209</v>
      </c>
      <c r="D66" s="2" t="s">
        <v>45</v>
      </c>
      <c r="E66" s="3" t="s">
        <v>26</v>
      </c>
      <c r="F66" s="2" t="s">
        <v>132</v>
      </c>
      <c r="G66" s="4">
        <v>230</v>
      </c>
      <c r="H66" s="3"/>
      <c r="I66" s="4">
        <v>1</v>
      </c>
      <c r="J66" s="4">
        <v>375.04</v>
      </c>
      <c r="K66" s="4">
        <v>1000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3" t="s">
        <v>27</v>
      </c>
      <c r="U66" s="3" t="s">
        <v>27</v>
      </c>
      <c r="V66" s="3" t="s">
        <v>26</v>
      </c>
    </row>
    <row r="67" spans="1:22" ht="18.75" customHeight="1" x14ac:dyDescent="0.25">
      <c r="A67" s="2" t="s">
        <v>210</v>
      </c>
      <c r="B67" s="2" t="s">
        <v>211</v>
      </c>
      <c r="C67" s="2" t="s">
        <v>24</v>
      </c>
      <c r="D67" s="2" t="s">
        <v>45</v>
      </c>
      <c r="E67" s="3" t="s">
        <v>26</v>
      </c>
      <c r="F67" s="2" t="s">
        <v>132</v>
      </c>
      <c r="G67" s="4">
        <v>380</v>
      </c>
      <c r="H67" s="3"/>
      <c r="I67" s="4">
        <v>1</v>
      </c>
      <c r="J67" s="4">
        <v>380</v>
      </c>
      <c r="K67" s="4">
        <v>5000</v>
      </c>
      <c r="L67" s="4"/>
      <c r="M67" s="4"/>
      <c r="N67" s="4"/>
      <c r="O67" s="4"/>
      <c r="P67" s="4"/>
      <c r="Q67" s="4"/>
      <c r="R67" s="4">
        <v>0</v>
      </c>
      <c r="S67" s="4"/>
      <c r="T67" s="3" t="s">
        <v>27</v>
      </c>
      <c r="U67" s="3" t="s">
        <v>27</v>
      </c>
      <c r="V67" s="3" t="s">
        <v>26</v>
      </c>
    </row>
    <row r="68" spans="1:22" ht="18.75" customHeight="1" x14ac:dyDescent="0.25">
      <c r="A68" s="2" t="s">
        <v>212</v>
      </c>
      <c r="B68" s="2" t="s">
        <v>213</v>
      </c>
      <c r="C68" s="2" t="s">
        <v>214</v>
      </c>
      <c r="D68" s="2" t="s">
        <v>45</v>
      </c>
      <c r="E68" s="3" t="s">
        <v>26</v>
      </c>
      <c r="F68" s="2" t="s">
        <v>132</v>
      </c>
      <c r="G68" s="4">
        <v>700</v>
      </c>
      <c r="H68" s="3"/>
      <c r="I68" s="4">
        <v>1</v>
      </c>
      <c r="J68" s="4">
        <v>700</v>
      </c>
      <c r="K68" s="4">
        <v>2500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3" t="s">
        <v>27</v>
      </c>
      <c r="U68" s="3" t="s">
        <v>27</v>
      </c>
      <c r="V68" s="3" t="s">
        <v>26</v>
      </c>
    </row>
    <row r="69" spans="1:22" ht="18.75" customHeight="1" x14ac:dyDescent="0.25">
      <c r="A69" s="2" t="s">
        <v>215</v>
      </c>
      <c r="B69" s="2" t="s">
        <v>216</v>
      </c>
      <c r="C69" s="2" t="s">
        <v>104</v>
      </c>
      <c r="D69" s="2" t="s">
        <v>45</v>
      </c>
      <c r="E69" s="3" t="s">
        <v>26</v>
      </c>
      <c r="F69" s="2" t="s">
        <v>132</v>
      </c>
      <c r="G69" s="4">
        <v>850</v>
      </c>
      <c r="H69" s="3"/>
      <c r="I69" s="4">
        <v>1</v>
      </c>
      <c r="J69" s="4">
        <v>565</v>
      </c>
      <c r="K69" s="4">
        <v>1500</v>
      </c>
      <c r="L69" s="4"/>
      <c r="M69" s="4"/>
      <c r="N69" s="4"/>
      <c r="O69" s="4"/>
      <c r="P69" s="4"/>
      <c r="Q69" s="4"/>
      <c r="R69" s="4">
        <v>0</v>
      </c>
      <c r="S69" s="4"/>
      <c r="T69" s="3" t="s">
        <v>27</v>
      </c>
      <c r="U69" s="3" t="s">
        <v>27</v>
      </c>
      <c r="V69" s="3" t="s">
        <v>26</v>
      </c>
    </row>
    <row r="70" spans="1:22" ht="18.75" customHeight="1" x14ac:dyDescent="0.25">
      <c r="A70" s="2" t="s">
        <v>217</v>
      </c>
      <c r="B70" s="2" t="s">
        <v>218</v>
      </c>
      <c r="C70" s="2" t="s">
        <v>219</v>
      </c>
      <c r="D70" s="2" t="s">
        <v>45</v>
      </c>
      <c r="E70" s="3" t="s">
        <v>26</v>
      </c>
      <c r="F70" s="2" t="s">
        <v>132</v>
      </c>
      <c r="G70" s="4">
        <v>500</v>
      </c>
      <c r="H70" s="3"/>
      <c r="I70" s="4">
        <v>1</v>
      </c>
      <c r="J70" s="4">
        <v>500</v>
      </c>
      <c r="K70" s="4">
        <v>1000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3" t="s">
        <v>27</v>
      </c>
      <c r="U70" s="3" t="s">
        <v>27</v>
      </c>
      <c r="V70" s="3" t="s">
        <v>26</v>
      </c>
    </row>
    <row r="71" spans="1:22" ht="18.75" customHeight="1" x14ac:dyDescent="0.25">
      <c r="A71" s="2" t="s">
        <v>220</v>
      </c>
      <c r="B71" s="2" t="s">
        <v>221</v>
      </c>
      <c r="C71" s="2" t="s">
        <v>222</v>
      </c>
      <c r="D71" s="2" t="s">
        <v>45</v>
      </c>
      <c r="E71" s="3" t="s">
        <v>26</v>
      </c>
      <c r="F71" s="2" t="s">
        <v>132</v>
      </c>
      <c r="G71" s="4">
        <v>185</v>
      </c>
      <c r="H71" s="3"/>
      <c r="I71" s="4">
        <v>1</v>
      </c>
      <c r="J71" s="4">
        <v>185</v>
      </c>
      <c r="K71" s="4">
        <v>750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3" t="s">
        <v>27</v>
      </c>
      <c r="U71" s="3" t="s">
        <v>27</v>
      </c>
      <c r="V71" s="3" t="s">
        <v>26</v>
      </c>
    </row>
    <row r="72" spans="1:22" ht="18.75" customHeight="1" x14ac:dyDescent="0.25">
      <c r="A72" s="2" t="s">
        <v>223</v>
      </c>
      <c r="B72" s="2" t="s">
        <v>224</v>
      </c>
      <c r="C72" s="2" t="s">
        <v>24</v>
      </c>
      <c r="D72" s="2" t="s">
        <v>45</v>
      </c>
      <c r="E72" s="3" t="s">
        <v>26</v>
      </c>
      <c r="F72" s="2" t="s">
        <v>132</v>
      </c>
      <c r="G72" s="4">
        <v>20000</v>
      </c>
      <c r="H72" s="3"/>
      <c r="I72" s="4">
        <v>1</v>
      </c>
      <c r="J72" s="4">
        <v>20000</v>
      </c>
      <c r="K72" s="4">
        <v>30000</v>
      </c>
      <c r="L72" s="4"/>
      <c r="M72" s="4"/>
      <c r="N72" s="4"/>
      <c r="O72" s="4"/>
      <c r="P72" s="4"/>
      <c r="Q72" s="4"/>
      <c r="R72" s="4">
        <v>0</v>
      </c>
      <c r="S72" s="4"/>
      <c r="T72" s="3" t="s">
        <v>27</v>
      </c>
      <c r="U72" s="3" t="s">
        <v>27</v>
      </c>
      <c r="V72" s="3" t="s">
        <v>26</v>
      </c>
    </row>
    <row r="73" spans="1:22" ht="18.75" customHeight="1" x14ac:dyDescent="0.25">
      <c r="A73" s="2" t="s">
        <v>225</v>
      </c>
      <c r="B73" s="2" t="s">
        <v>226</v>
      </c>
      <c r="C73" s="2" t="s">
        <v>24</v>
      </c>
      <c r="D73" s="2" t="s">
        <v>45</v>
      </c>
      <c r="E73" s="3" t="s">
        <v>26</v>
      </c>
      <c r="F73" s="2" t="s">
        <v>132</v>
      </c>
      <c r="G73" s="4">
        <v>0</v>
      </c>
      <c r="H73" s="3"/>
      <c r="I73" s="4">
        <v>1</v>
      </c>
      <c r="J73" s="4">
        <v>0</v>
      </c>
      <c r="K73" s="4">
        <v>0</v>
      </c>
      <c r="L73" s="4"/>
      <c r="M73" s="4"/>
      <c r="N73" s="4"/>
      <c r="O73" s="4"/>
      <c r="P73" s="4"/>
      <c r="Q73" s="4"/>
      <c r="R73" s="4">
        <v>0</v>
      </c>
      <c r="S73" s="4"/>
      <c r="T73" s="3" t="s">
        <v>27</v>
      </c>
      <c r="U73" s="3" t="s">
        <v>27</v>
      </c>
      <c r="V73" s="3" t="s">
        <v>26</v>
      </c>
    </row>
    <row r="74" spans="1:22" ht="18.75" customHeight="1" x14ac:dyDescent="0.25">
      <c r="A74" s="2" t="s">
        <v>227</v>
      </c>
      <c r="B74" s="2" t="s">
        <v>228</v>
      </c>
      <c r="C74" s="2" t="s">
        <v>229</v>
      </c>
      <c r="D74" s="2" t="s">
        <v>45</v>
      </c>
      <c r="E74" s="3" t="s">
        <v>26</v>
      </c>
      <c r="F74" s="2" t="s">
        <v>132</v>
      </c>
      <c r="G74" s="4">
        <v>400</v>
      </c>
      <c r="H74" s="3"/>
      <c r="I74" s="4">
        <v>1</v>
      </c>
      <c r="J74" s="4">
        <v>400</v>
      </c>
      <c r="K74" s="4">
        <v>750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3" t="s">
        <v>27</v>
      </c>
      <c r="U74" s="3" t="s">
        <v>27</v>
      </c>
      <c r="V74" s="3" t="s">
        <v>26</v>
      </c>
    </row>
    <row r="75" spans="1:22" ht="18.75" customHeight="1" x14ac:dyDescent="0.25">
      <c r="A75" s="2" t="s">
        <v>230</v>
      </c>
      <c r="B75" s="2" t="s">
        <v>231</v>
      </c>
      <c r="C75" s="2" t="s">
        <v>232</v>
      </c>
      <c r="D75" s="2" t="s">
        <v>45</v>
      </c>
      <c r="E75" s="3" t="s">
        <v>26</v>
      </c>
      <c r="F75" s="2" t="s">
        <v>132</v>
      </c>
      <c r="G75" s="4">
        <v>430</v>
      </c>
      <c r="H75" s="3"/>
      <c r="I75" s="4">
        <v>1</v>
      </c>
      <c r="J75" s="4">
        <v>430</v>
      </c>
      <c r="K75" s="4">
        <v>1000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3" t="s">
        <v>27</v>
      </c>
      <c r="U75" s="3" t="s">
        <v>27</v>
      </c>
      <c r="V75" s="3" t="s">
        <v>26</v>
      </c>
    </row>
    <row r="76" spans="1:22" ht="18.75" customHeight="1" x14ac:dyDescent="0.25">
      <c r="A76" s="2" t="s">
        <v>233</v>
      </c>
      <c r="B76" s="2" t="s">
        <v>234</v>
      </c>
      <c r="C76" s="2" t="s">
        <v>24</v>
      </c>
      <c r="D76" s="2" t="s">
        <v>45</v>
      </c>
      <c r="E76" s="3" t="s">
        <v>26</v>
      </c>
      <c r="F76" s="2" t="s">
        <v>132</v>
      </c>
      <c r="G76" s="4">
        <v>8750</v>
      </c>
      <c r="H76" s="3"/>
      <c r="I76" s="4">
        <v>1</v>
      </c>
      <c r="J76" s="4">
        <v>8750</v>
      </c>
      <c r="K76" s="4">
        <v>25000</v>
      </c>
      <c r="L76" s="4"/>
      <c r="M76" s="4"/>
      <c r="N76" s="4"/>
      <c r="O76" s="4"/>
      <c r="P76" s="4"/>
      <c r="Q76" s="4"/>
      <c r="R76" s="4">
        <v>0</v>
      </c>
      <c r="S76" s="4"/>
      <c r="T76" s="3" t="s">
        <v>27</v>
      </c>
      <c r="U76" s="3" t="s">
        <v>27</v>
      </c>
      <c r="V76" s="3" t="s">
        <v>26</v>
      </c>
    </row>
    <row r="77" spans="1:22" ht="18.75" customHeight="1" x14ac:dyDescent="0.25">
      <c r="A77" s="2" t="s">
        <v>235</v>
      </c>
      <c r="B77" s="2" t="s">
        <v>236</v>
      </c>
      <c r="C77" s="2" t="s">
        <v>237</v>
      </c>
      <c r="D77" s="2" t="s">
        <v>45</v>
      </c>
      <c r="E77" s="3" t="s">
        <v>26</v>
      </c>
      <c r="F77" s="2" t="s">
        <v>132</v>
      </c>
      <c r="G77" s="4">
        <v>184</v>
      </c>
      <c r="H77" s="3"/>
      <c r="I77" s="4">
        <v>1</v>
      </c>
      <c r="J77" s="4">
        <v>184</v>
      </c>
      <c r="K77" s="4">
        <v>1000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3" t="s">
        <v>27</v>
      </c>
      <c r="U77" s="3" t="s">
        <v>27</v>
      </c>
      <c r="V77" s="3" t="s">
        <v>26</v>
      </c>
    </row>
    <row r="78" spans="1:22" ht="18.75" customHeight="1" x14ac:dyDescent="0.25">
      <c r="A78" s="2" t="s">
        <v>238</v>
      </c>
      <c r="B78" s="2" t="s">
        <v>239</v>
      </c>
      <c r="C78" s="2" t="s">
        <v>24</v>
      </c>
      <c r="D78" s="2" t="s">
        <v>45</v>
      </c>
      <c r="E78" s="3" t="s">
        <v>26</v>
      </c>
      <c r="F78" s="2" t="s">
        <v>132</v>
      </c>
      <c r="G78" s="4">
        <v>850</v>
      </c>
      <c r="H78" s="3"/>
      <c r="I78" s="4">
        <v>1</v>
      </c>
      <c r="J78" s="4">
        <v>850</v>
      </c>
      <c r="K78" s="4">
        <v>5000</v>
      </c>
      <c r="L78" s="4"/>
      <c r="M78" s="4"/>
      <c r="N78" s="4"/>
      <c r="O78" s="4"/>
      <c r="P78" s="4"/>
      <c r="Q78" s="4"/>
      <c r="R78" s="4">
        <v>0</v>
      </c>
      <c r="S78" s="4"/>
      <c r="T78" s="3" t="s">
        <v>27</v>
      </c>
      <c r="U78" s="3" t="s">
        <v>27</v>
      </c>
      <c r="V78" s="3" t="s">
        <v>26</v>
      </c>
    </row>
    <row r="79" spans="1:22" ht="18.75" customHeight="1" x14ac:dyDescent="0.25">
      <c r="A79" s="2" t="s">
        <v>240</v>
      </c>
      <c r="B79" s="2" t="s">
        <v>241</v>
      </c>
      <c r="C79" s="2" t="s">
        <v>24</v>
      </c>
      <c r="D79" s="2" t="s">
        <v>45</v>
      </c>
      <c r="E79" s="3" t="s">
        <v>26</v>
      </c>
      <c r="F79" s="2" t="s">
        <v>132</v>
      </c>
      <c r="G79" s="4">
        <v>1500</v>
      </c>
      <c r="H79" s="3"/>
      <c r="I79" s="4">
        <v>1</v>
      </c>
      <c r="J79" s="4">
        <v>1500</v>
      </c>
      <c r="K79" s="4">
        <v>10000</v>
      </c>
      <c r="L79" s="4"/>
      <c r="M79" s="4"/>
      <c r="N79" s="4"/>
      <c r="O79" s="4"/>
      <c r="P79" s="4"/>
      <c r="Q79" s="4"/>
      <c r="R79" s="4">
        <v>0</v>
      </c>
      <c r="S79" s="4"/>
      <c r="T79" s="3" t="s">
        <v>27</v>
      </c>
      <c r="U79" s="3" t="s">
        <v>27</v>
      </c>
      <c r="V79" s="3" t="s">
        <v>26</v>
      </c>
    </row>
    <row r="80" spans="1:22" ht="18.75" customHeight="1" x14ac:dyDescent="0.25">
      <c r="A80" s="2" t="s">
        <v>242</v>
      </c>
      <c r="B80" s="2" t="s">
        <v>243</v>
      </c>
      <c r="C80" s="2" t="s">
        <v>24</v>
      </c>
      <c r="D80" s="2" t="s">
        <v>45</v>
      </c>
      <c r="E80" s="3" t="s">
        <v>26</v>
      </c>
      <c r="F80" s="2" t="s">
        <v>132</v>
      </c>
      <c r="G80" s="4">
        <v>1200</v>
      </c>
      <c r="H80" s="3"/>
      <c r="I80" s="4">
        <v>1</v>
      </c>
      <c r="J80" s="4">
        <v>1200</v>
      </c>
      <c r="K80" s="4">
        <v>25000</v>
      </c>
      <c r="L80" s="4"/>
      <c r="M80" s="4"/>
      <c r="N80" s="4"/>
      <c r="O80" s="4"/>
      <c r="P80" s="4"/>
      <c r="Q80" s="4"/>
      <c r="R80" s="4">
        <v>0</v>
      </c>
      <c r="S80" s="4"/>
      <c r="T80" s="3" t="s">
        <v>27</v>
      </c>
      <c r="U80" s="3" t="s">
        <v>27</v>
      </c>
      <c r="V80" s="3" t="s">
        <v>26</v>
      </c>
    </row>
    <row r="81" spans="1:22" ht="18.75" customHeight="1" x14ac:dyDescent="0.25">
      <c r="A81" s="2" t="s">
        <v>244</v>
      </c>
      <c r="B81" s="2" t="s">
        <v>245</v>
      </c>
      <c r="C81" s="2" t="s">
        <v>246</v>
      </c>
      <c r="D81" s="2" t="s">
        <v>45</v>
      </c>
      <c r="E81" s="3" t="s">
        <v>26</v>
      </c>
      <c r="F81" s="2" t="s">
        <v>132</v>
      </c>
      <c r="G81" s="4">
        <v>200</v>
      </c>
      <c r="H81" s="3"/>
      <c r="I81" s="4">
        <v>1</v>
      </c>
      <c r="J81" s="4">
        <v>200</v>
      </c>
      <c r="K81" s="4">
        <v>1500</v>
      </c>
      <c r="L81" s="4"/>
      <c r="M81" s="4"/>
      <c r="N81" s="4"/>
      <c r="O81" s="4"/>
      <c r="P81" s="4"/>
      <c r="Q81" s="4"/>
      <c r="R81" s="4">
        <v>0</v>
      </c>
      <c r="S81" s="4"/>
      <c r="T81" s="3" t="s">
        <v>27</v>
      </c>
      <c r="U81" s="3" t="s">
        <v>27</v>
      </c>
      <c r="V81" s="3" t="s">
        <v>26</v>
      </c>
    </row>
    <row r="82" spans="1:22" ht="18.75" customHeight="1" x14ac:dyDescent="0.25">
      <c r="A82" s="2" t="s">
        <v>247</v>
      </c>
      <c r="B82" s="2" t="s">
        <v>248</v>
      </c>
      <c r="C82" s="2" t="s">
        <v>249</v>
      </c>
      <c r="D82" s="2" t="s">
        <v>45</v>
      </c>
      <c r="E82" s="3" t="s">
        <v>26</v>
      </c>
      <c r="F82" s="2" t="s">
        <v>132</v>
      </c>
      <c r="G82" s="4">
        <v>0</v>
      </c>
      <c r="H82" s="3"/>
      <c r="I82" s="4">
        <v>1</v>
      </c>
      <c r="J82" s="4">
        <v>0</v>
      </c>
      <c r="K82" s="4">
        <v>0</v>
      </c>
      <c r="L82" s="4"/>
      <c r="M82" s="4"/>
      <c r="N82" s="4"/>
      <c r="O82" s="4"/>
      <c r="P82" s="4"/>
      <c r="Q82" s="4"/>
      <c r="R82" s="4">
        <v>0</v>
      </c>
      <c r="S82" s="4"/>
      <c r="T82" s="3" t="s">
        <v>26</v>
      </c>
      <c r="U82" s="3" t="s">
        <v>27</v>
      </c>
      <c r="V82" s="3" t="s">
        <v>26</v>
      </c>
    </row>
    <row r="83" spans="1:22" ht="18.75" customHeight="1" x14ac:dyDescent="0.25">
      <c r="A83" s="2" t="s">
        <v>250</v>
      </c>
      <c r="B83" s="2" t="s">
        <v>251</v>
      </c>
      <c r="C83" s="2" t="s">
        <v>24</v>
      </c>
      <c r="D83" s="2" t="s">
        <v>45</v>
      </c>
      <c r="E83" s="3" t="s">
        <v>26</v>
      </c>
      <c r="F83" s="2" t="s">
        <v>132</v>
      </c>
      <c r="G83" s="4">
        <v>1800</v>
      </c>
      <c r="H83" s="3"/>
      <c r="I83" s="4">
        <v>1</v>
      </c>
      <c r="J83" s="4">
        <v>1800</v>
      </c>
      <c r="K83" s="4">
        <v>10000</v>
      </c>
      <c r="L83" s="4"/>
      <c r="M83" s="4"/>
      <c r="N83" s="4"/>
      <c r="O83" s="4"/>
      <c r="P83" s="4"/>
      <c r="Q83" s="4"/>
      <c r="R83" s="4">
        <v>0</v>
      </c>
      <c r="S83" s="4"/>
      <c r="T83" s="3" t="s">
        <v>27</v>
      </c>
      <c r="U83" s="3" t="s">
        <v>27</v>
      </c>
      <c r="V83" s="3" t="s">
        <v>26</v>
      </c>
    </row>
    <row r="84" spans="1:22" ht="18.75" customHeight="1" x14ac:dyDescent="0.25">
      <c r="A84" s="2" t="s">
        <v>252</v>
      </c>
      <c r="B84" s="2" t="s">
        <v>253</v>
      </c>
      <c r="C84" s="2" t="s">
        <v>24</v>
      </c>
      <c r="D84" s="2" t="s">
        <v>45</v>
      </c>
      <c r="E84" s="3" t="s">
        <v>26</v>
      </c>
      <c r="F84" s="2" t="s">
        <v>132</v>
      </c>
      <c r="G84" s="4">
        <v>3000</v>
      </c>
      <c r="H84" s="3"/>
      <c r="I84" s="4">
        <v>1</v>
      </c>
      <c r="J84" s="4">
        <v>3000</v>
      </c>
      <c r="K84" s="4">
        <v>20000</v>
      </c>
      <c r="L84" s="4"/>
      <c r="M84" s="4"/>
      <c r="N84" s="4"/>
      <c r="O84" s="4"/>
      <c r="P84" s="4"/>
      <c r="Q84" s="4"/>
      <c r="R84" s="4">
        <v>0</v>
      </c>
      <c r="S84" s="4"/>
      <c r="T84" s="3" t="s">
        <v>27</v>
      </c>
      <c r="U84" s="3" t="s">
        <v>27</v>
      </c>
      <c r="V84" s="3" t="s">
        <v>26</v>
      </c>
    </row>
    <row r="85" spans="1:22" ht="18.75" customHeight="1" x14ac:dyDescent="0.25">
      <c r="A85" s="2" t="s">
        <v>254</v>
      </c>
      <c r="B85" s="2" t="s">
        <v>255</v>
      </c>
      <c r="C85" s="2" t="s">
        <v>256</v>
      </c>
      <c r="D85" s="2" t="s">
        <v>45</v>
      </c>
      <c r="E85" s="3" t="s">
        <v>26</v>
      </c>
      <c r="F85" s="2" t="s">
        <v>132</v>
      </c>
      <c r="G85" s="4">
        <v>95</v>
      </c>
      <c r="H85" s="3"/>
      <c r="I85" s="4">
        <v>1</v>
      </c>
      <c r="J85" s="4">
        <v>95</v>
      </c>
      <c r="K85" s="4">
        <v>500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3" t="s">
        <v>27</v>
      </c>
      <c r="U85" s="3" t="s">
        <v>27</v>
      </c>
      <c r="V85" s="3" t="s">
        <v>26</v>
      </c>
    </row>
    <row r="86" spans="1:22" ht="18.75" customHeight="1" x14ac:dyDescent="0.25">
      <c r="A86" s="2" t="s">
        <v>257</v>
      </c>
      <c r="B86" s="2" t="s">
        <v>258</v>
      </c>
      <c r="C86" s="2" t="s">
        <v>259</v>
      </c>
      <c r="D86" s="2" t="s">
        <v>45</v>
      </c>
      <c r="E86" s="3" t="s">
        <v>26</v>
      </c>
      <c r="F86" s="2" t="s">
        <v>132</v>
      </c>
      <c r="G86" s="4">
        <v>950</v>
      </c>
      <c r="H86" s="3"/>
      <c r="I86" s="4">
        <v>1</v>
      </c>
      <c r="J86" s="4">
        <v>950</v>
      </c>
      <c r="K86" s="4">
        <v>3000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3" t="s">
        <v>26</v>
      </c>
      <c r="U86" s="3" t="s">
        <v>27</v>
      </c>
      <c r="V86" s="3" t="s">
        <v>26</v>
      </c>
    </row>
    <row r="87" spans="1:22" ht="18.75" customHeight="1" x14ac:dyDescent="0.25">
      <c r="A87" s="2" t="s">
        <v>260</v>
      </c>
      <c r="B87" s="2" t="s">
        <v>261</v>
      </c>
      <c r="C87" s="2" t="s">
        <v>262</v>
      </c>
      <c r="D87" s="2" t="s">
        <v>31</v>
      </c>
      <c r="E87" s="3" t="s">
        <v>26</v>
      </c>
      <c r="F87" s="2" t="s">
        <v>263</v>
      </c>
      <c r="G87" s="4">
        <v>500</v>
      </c>
      <c r="H87" s="3"/>
      <c r="I87" s="4">
        <v>0</v>
      </c>
      <c r="J87" s="4">
        <v>500</v>
      </c>
      <c r="K87" s="4">
        <v>2500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3" t="s">
        <v>26</v>
      </c>
      <c r="U87" s="3" t="s">
        <v>27</v>
      </c>
      <c r="V87" s="3" t="s">
        <v>26</v>
      </c>
    </row>
    <row r="88" spans="1:22" ht="18.75" customHeight="1" x14ac:dyDescent="0.25">
      <c r="A88" s="2" t="s">
        <v>264</v>
      </c>
      <c r="B88" s="2" t="s">
        <v>265</v>
      </c>
      <c r="C88" s="2" t="s">
        <v>120</v>
      </c>
      <c r="D88" s="2" t="s">
        <v>31</v>
      </c>
      <c r="E88" s="3" t="s">
        <v>26</v>
      </c>
      <c r="F88" s="2" t="s">
        <v>263</v>
      </c>
      <c r="G88" s="4">
        <v>600</v>
      </c>
      <c r="H88" s="3"/>
      <c r="I88" s="4">
        <v>1</v>
      </c>
      <c r="J88" s="4">
        <v>600</v>
      </c>
      <c r="K88" s="4">
        <v>2000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3" t="s">
        <v>27</v>
      </c>
      <c r="U88" s="3" t="s">
        <v>27</v>
      </c>
      <c r="V88" s="3" t="s">
        <v>26</v>
      </c>
    </row>
    <row r="89" spans="1:22" ht="18.75" customHeight="1" x14ac:dyDescent="0.25">
      <c r="A89" s="2" t="s">
        <v>266</v>
      </c>
      <c r="B89" s="2" t="s">
        <v>267</v>
      </c>
      <c r="C89" s="2" t="s">
        <v>268</v>
      </c>
      <c r="D89" s="2" t="s">
        <v>45</v>
      </c>
      <c r="E89" s="3" t="s">
        <v>26</v>
      </c>
      <c r="F89" s="2" t="s">
        <v>263</v>
      </c>
      <c r="G89" s="4">
        <v>236</v>
      </c>
      <c r="H89" s="3"/>
      <c r="I89" s="4">
        <v>1</v>
      </c>
      <c r="J89" s="4">
        <v>236</v>
      </c>
      <c r="K89" s="4">
        <v>1000</v>
      </c>
      <c r="L89" s="4"/>
      <c r="M89" s="4"/>
      <c r="N89" s="4"/>
      <c r="O89" s="4"/>
      <c r="P89" s="4"/>
      <c r="Q89" s="4"/>
      <c r="R89" s="4">
        <v>0</v>
      </c>
      <c r="S89" s="4"/>
      <c r="T89" s="3" t="s">
        <v>26</v>
      </c>
      <c r="U89" s="3" t="s">
        <v>27</v>
      </c>
      <c r="V89" s="3" t="s">
        <v>26</v>
      </c>
    </row>
    <row r="90" spans="1:22" ht="18.75" customHeight="1" x14ac:dyDescent="0.25">
      <c r="A90" s="2" t="s">
        <v>269</v>
      </c>
      <c r="B90" s="2" t="s">
        <v>270</v>
      </c>
      <c r="C90" s="2" t="s">
        <v>271</v>
      </c>
      <c r="D90" s="2" t="s">
        <v>31</v>
      </c>
      <c r="E90" s="3" t="s">
        <v>26</v>
      </c>
      <c r="F90" s="2" t="s">
        <v>263</v>
      </c>
      <c r="G90" s="4">
        <v>170</v>
      </c>
      <c r="H90" s="3"/>
      <c r="I90" s="4">
        <v>1</v>
      </c>
      <c r="J90" s="4">
        <v>170.02</v>
      </c>
      <c r="K90" s="4">
        <v>500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3" t="s">
        <v>27</v>
      </c>
      <c r="U90" s="3" t="s">
        <v>27</v>
      </c>
      <c r="V90" s="3" t="s">
        <v>26</v>
      </c>
    </row>
    <row r="91" spans="1:22" ht="18.75" customHeight="1" x14ac:dyDescent="0.25">
      <c r="A91" s="2" t="s">
        <v>272</v>
      </c>
      <c r="B91" s="2" t="s">
        <v>273</v>
      </c>
      <c r="C91" s="2" t="s">
        <v>271</v>
      </c>
      <c r="D91" s="2" t="s">
        <v>31</v>
      </c>
      <c r="E91" s="3" t="s">
        <v>26</v>
      </c>
      <c r="F91" s="2" t="s">
        <v>263</v>
      </c>
      <c r="G91" s="4">
        <v>350</v>
      </c>
      <c r="H91" s="3"/>
      <c r="I91" s="4">
        <v>1</v>
      </c>
      <c r="J91" s="4">
        <v>350</v>
      </c>
      <c r="K91" s="4">
        <v>1000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3" t="s">
        <v>27</v>
      </c>
      <c r="U91" s="3" t="s">
        <v>27</v>
      </c>
      <c r="V91" s="3" t="s">
        <v>26</v>
      </c>
    </row>
    <row r="92" spans="1:22" ht="18.75" customHeight="1" x14ac:dyDescent="0.25">
      <c r="A92" s="2" t="s">
        <v>274</v>
      </c>
      <c r="B92" s="2" t="s">
        <v>275</v>
      </c>
      <c r="C92" s="2" t="s">
        <v>276</v>
      </c>
      <c r="D92" s="2" t="s">
        <v>45</v>
      </c>
      <c r="E92" s="3" t="s">
        <v>26</v>
      </c>
      <c r="F92" s="2" t="s">
        <v>263</v>
      </c>
      <c r="G92" s="4">
        <v>1756</v>
      </c>
      <c r="H92" s="3"/>
      <c r="I92" s="4">
        <v>1</v>
      </c>
      <c r="J92" s="4">
        <v>1756</v>
      </c>
      <c r="K92" s="4">
        <v>3000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3" t="s">
        <v>27</v>
      </c>
      <c r="U92" s="3" t="s">
        <v>27</v>
      </c>
      <c r="V92" s="3" t="s">
        <v>26</v>
      </c>
    </row>
    <row r="93" spans="1:22" ht="18.75" customHeight="1" x14ac:dyDescent="0.25">
      <c r="A93" s="2" t="s">
        <v>277</v>
      </c>
      <c r="B93" s="2" t="s">
        <v>278</v>
      </c>
      <c r="C93" s="2" t="s">
        <v>279</v>
      </c>
      <c r="D93" s="2" t="s">
        <v>45</v>
      </c>
      <c r="E93" s="3" t="s">
        <v>26</v>
      </c>
      <c r="F93" s="2" t="s">
        <v>263</v>
      </c>
      <c r="G93" s="4">
        <v>232</v>
      </c>
      <c r="H93" s="3"/>
      <c r="I93" s="4">
        <v>1</v>
      </c>
      <c r="J93" s="4">
        <v>232</v>
      </c>
      <c r="K93" s="4">
        <v>500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3" t="s">
        <v>27</v>
      </c>
      <c r="U93" s="3" t="s">
        <v>27</v>
      </c>
      <c r="V93" s="3" t="s">
        <v>26</v>
      </c>
    </row>
    <row r="94" spans="1:22" ht="18.75" customHeight="1" x14ac:dyDescent="0.25">
      <c r="A94" s="2" t="s">
        <v>280</v>
      </c>
      <c r="B94" s="2" t="s">
        <v>281</v>
      </c>
      <c r="C94" s="2" t="s">
        <v>281</v>
      </c>
      <c r="D94" s="2" t="s">
        <v>31</v>
      </c>
      <c r="E94" s="3" t="s">
        <v>26</v>
      </c>
      <c r="F94" s="2" t="s">
        <v>263</v>
      </c>
      <c r="G94" s="4">
        <v>200</v>
      </c>
      <c r="H94" s="3"/>
      <c r="I94" s="4">
        <v>1</v>
      </c>
      <c r="J94" s="4">
        <v>200</v>
      </c>
      <c r="K94" s="4">
        <v>1000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3" t="s">
        <v>27</v>
      </c>
      <c r="U94" s="3" t="s">
        <v>27</v>
      </c>
      <c r="V94" s="3" t="s">
        <v>26</v>
      </c>
    </row>
    <row r="95" spans="1:22" ht="18.75" customHeight="1" x14ac:dyDescent="0.25">
      <c r="A95" s="2" t="s">
        <v>282</v>
      </c>
      <c r="B95" s="2" t="s">
        <v>283</v>
      </c>
      <c r="C95" s="2" t="s">
        <v>284</v>
      </c>
      <c r="D95" s="2" t="s">
        <v>35</v>
      </c>
      <c r="E95" s="3" t="s">
        <v>26</v>
      </c>
      <c r="F95" s="2" t="s">
        <v>263</v>
      </c>
      <c r="G95" s="4">
        <v>244</v>
      </c>
      <c r="H95" s="3"/>
      <c r="I95" s="4">
        <v>1</v>
      </c>
      <c r="J95" s="4">
        <v>244</v>
      </c>
      <c r="K95" s="4">
        <v>2000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3" t="s">
        <v>26</v>
      </c>
      <c r="U95" s="3" t="s">
        <v>27</v>
      </c>
      <c r="V95" s="3" t="s">
        <v>26</v>
      </c>
    </row>
    <row r="96" spans="1:22" ht="18.75" customHeight="1" x14ac:dyDescent="0.25">
      <c r="A96" s="2" t="s">
        <v>285</v>
      </c>
      <c r="B96" s="2" t="s">
        <v>286</v>
      </c>
      <c r="C96" s="2" t="s">
        <v>287</v>
      </c>
      <c r="D96" s="2" t="s">
        <v>45</v>
      </c>
      <c r="E96" s="3" t="s">
        <v>26</v>
      </c>
      <c r="F96" s="2" t="s">
        <v>263</v>
      </c>
      <c r="G96" s="4">
        <v>670</v>
      </c>
      <c r="H96" s="3"/>
      <c r="I96" s="4">
        <v>1</v>
      </c>
      <c r="J96" s="4">
        <v>670</v>
      </c>
      <c r="K96" s="4">
        <v>2000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3" t="s">
        <v>26</v>
      </c>
      <c r="U96" s="3" t="s">
        <v>27</v>
      </c>
      <c r="V96" s="3" t="s">
        <v>26</v>
      </c>
    </row>
    <row r="97" spans="1:22" ht="18.75" customHeight="1" x14ac:dyDescent="0.25">
      <c r="A97" s="2" t="s">
        <v>288</v>
      </c>
      <c r="B97" s="2" t="s">
        <v>289</v>
      </c>
      <c r="C97" s="2" t="s">
        <v>290</v>
      </c>
      <c r="D97" s="2" t="s">
        <v>45</v>
      </c>
      <c r="E97" s="3" t="s">
        <v>26</v>
      </c>
      <c r="F97" s="2" t="s">
        <v>263</v>
      </c>
      <c r="G97" s="4">
        <v>400</v>
      </c>
      <c r="H97" s="3"/>
      <c r="I97" s="4">
        <v>1</v>
      </c>
      <c r="J97" s="4">
        <v>400</v>
      </c>
      <c r="K97" s="4">
        <v>1000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3" t="s">
        <v>27</v>
      </c>
      <c r="U97" s="3" t="s">
        <v>27</v>
      </c>
      <c r="V97" s="3" t="s">
        <v>26</v>
      </c>
    </row>
    <row r="98" spans="1:22" ht="18.75" customHeight="1" x14ac:dyDescent="0.25">
      <c r="A98" s="2" t="s">
        <v>291</v>
      </c>
      <c r="B98" s="2" t="s">
        <v>292</v>
      </c>
      <c r="C98" s="2" t="s">
        <v>293</v>
      </c>
      <c r="D98" s="2" t="s">
        <v>31</v>
      </c>
      <c r="E98" s="3" t="s">
        <v>26</v>
      </c>
      <c r="F98" s="2" t="s">
        <v>263</v>
      </c>
      <c r="G98" s="4">
        <v>125</v>
      </c>
      <c r="H98" s="3"/>
      <c r="I98" s="4">
        <v>1</v>
      </c>
      <c r="J98" s="4">
        <v>125</v>
      </c>
      <c r="K98" s="4">
        <v>1000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3" t="s">
        <v>27</v>
      </c>
      <c r="U98" s="3" t="s">
        <v>27</v>
      </c>
      <c r="V98" s="3" t="s">
        <v>26</v>
      </c>
    </row>
    <row r="99" spans="1:22" ht="18.75" customHeight="1" x14ac:dyDescent="0.25">
      <c r="A99" s="2" t="s">
        <v>294</v>
      </c>
      <c r="B99" s="2" t="s">
        <v>295</v>
      </c>
      <c r="C99" s="2" t="s">
        <v>296</v>
      </c>
      <c r="D99" s="2" t="s">
        <v>31</v>
      </c>
      <c r="E99" s="3" t="s">
        <v>26</v>
      </c>
      <c r="F99" s="2" t="s">
        <v>263</v>
      </c>
      <c r="G99" s="4">
        <v>250</v>
      </c>
      <c r="H99" s="3"/>
      <c r="I99" s="4">
        <v>1</v>
      </c>
      <c r="J99" s="4">
        <v>250</v>
      </c>
      <c r="K99" s="4">
        <v>1000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3" t="s">
        <v>26</v>
      </c>
      <c r="U99" s="3" t="s">
        <v>27</v>
      </c>
      <c r="V99" s="3" t="s">
        <v>26</v>
      </c>
    </row>
    <row r="100" spans="1:22" ht="18.75" customHeight="1" x14ac:dyDescent="0.25">
      <c r="A100" s="2" t="s">
        <v>297</v>
      </c>
      <c r="B100" s="2" t="s">
        <v>298</v>
      </c>
      <c r="C100" s="2" t="s">
        <v>299</v>
      </c>
      <c r="D100" s="2" t="s">
        <v>31</v>
      </c>
      <c r="E100" s="3" t="s">
        <v>26</v>
      </c>
      <c r="F100" s="2" t="s">
        <v>263</v>
      </c>
      <c r="G100" s="4">
        <v>5980</v>
      </c>
      <c r="H100" s="3"/>
      <c r="I100" s="4">
        <v>1</v>
      </c>
      <c r="J100" s="4">
        <v>358</v>
      </c>
      <c r="K100" s="4">
        <v>8000</v>
      </c>
      <c r="L100" s="4"/>
      <c r="M100" s="4"/>
      <c r="N100" s="4"/>
      <c r="O100" s="4"/>
      <c r="P100" s="4"/>
      <c r="Q100" s="4"/>
      <c r="R100" s="4">
        <v>0</v>
      </c>
      <c r="S100" s="4"/>
      <c r="T100" s="3" t="s">
        <v>26</v>
      </c>
      <c r="U100" s="3" t="s">
        <v>27</v>
      </c>
      <c r="V100" s="3" t="s">
        <v>26</v>
      </c>
    </row>
    <row r="101" spans="1:22" ht="18.75" customHeight="1" x14ac:dyDescent="0.25">
      <c r="A101" s="2" t="s">
        <v>300</v>
      </c>
      <c r="B101" s="2" t="s">
        <v>301</v>
      </c>
      <c r="C101" s="2" t="s">
        <v>302</v>
      </c>
      <c r="D101" s="2" t="s">
        <v>31</v>
      </c>
      <c r="E101" s="3" t="s">
        <v>26</v>
      </c>
      <c r="F101" s="2" t="s">
        <v>263</v>
      </c>
      <c r="G101" s="4">
        <v>1000</v>
      </c>
      <c r="H101" s="3"/>
      <c r="I101" s="4">
        <v>1</v>
      </c>
      <c r="J101" s="4">
        <v>1000</v>
      </c>
      <c r="K101" s="4">
        <v>1500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3" t="s">
        <v>27</v>
      </c>
      <c r="U101" s="3" t="s">
        <v>27</v>
      </c>
      <c r="V101" s="3" t="s">
        <v>26</v>
      </c>
    </row>
    <row r="102" spans="1:22" ht="18.75" customHeight="1" x14ac:dyDescent="0.25">
      <c r="A102" s="2" t="s">
        <v>303</v>
      </c>
      <c r="B102" s="2" t="s">
        <v>304</v>
      </c>
      <c r="C102" s="2" t="s">
        <v>302</v>
      </c>
      <c r="D102" s="2" t="s">
        <v>31</v>
      </c>
      <c r="E102" s="3" t="s">
        <v>26</v>
      </c>
      <c r="F102" s="2" t="s">
        <v>263</v>
      </c>
      <c r="G102" s="4">
        <v>1200</v>
      </c>
      <c r="H102" s="3"/>
      <c r="I102" s="4">
        <v>1</v>
      </c>
      <c r="J102" s="4">
        <v>1200</v>
      </c>
      <c r="K102" s="4">
        <v>3000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3" t="s">
        <v>26</v>
      </c>
      <c r="U102" s="3" t="s">
        <v>27</v>
      </c>
      <c r="V102" s="3" t="s">
        <v>26</v>
      </c>
    </row>
    <row r="103" spans="1:22" ht="18.75" customHeight="1" x14ac:dyDescent="0.25">
      <c r="A103" s="2" t="s">
        <v>305</v>
      </c>
      <c r="B103" s="2" t="s">
        <v>306</v>
      </c>
      <c r="C103" s="2" t="s">
        <v>307</v>
      </c>
      <c r="D103" s="2" t="s">
        <v>45</v>
      </c>
      <c r="E103" s="3" t="s">
        <v>26</v>
      </c>
      <c r="F103" s="2" t="s">
        <v>263</v>
      </c>
      <c r="G103" s="4">
        <v>160</v>
      </c>
      <c r="H103" s="3"/>
      <c r="I103" s="4">
        <v>1</v>
      </c>
      <c r="J103" s="4">
        <v>160</v>
      </c>
      <c r="K103" s="4">
        <v>1000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3" t="s">
        <v>27</v>
      </c>
      <c r="U103" s="3" t="s">
        <v>27</v>
      </c>
      <c r="V103" s="3" t="s">
        <v>26</v>
      </c>
    </row>
    <row r="104" spans="1:22" ht="18.75" customHeight="1" x14ac:dyDescent="0.25">
      <c r="A104" s="2" t="s">
        <v>308</v>
      </c>
      <c r="B104" s="2" t="s">
        <v>309</v>
      </c>
      <c r="C104" s="2" t="s">
        <v>310</v>
      </c>
      <c r="D104" s="2" t="s">
        <v>31</v>
      </c>
      <c r="E104" s="3" t="s">
        <v>26</v>
      </c>
      <c r="F104" s="2" t="s">
        <v>263</v>
      </c>
      <c r="G104" s="4">
        <v>500</v>
      </c>
      <c r="H104" s="3"/>
      <c r="I104" s="4">
        <v>1</v>
      </c>
      <c r="J104" s="4">
        <v>500</v>
      </c>
      <c r="K104" s="4">
        <v>1500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3" t="s">
        <v>26</v>
      </c>
      <c r="U104" s="3" t="s">
        <v>27</v>
      </c>
      <c r="V104" s="3" t="s">
        <v>26</v>
      </c>
    </row>
    <row r="105" spans="1:22" ht="18.75" customHeight="1" x14ac:dyDescent="0.25">
      <c r="A105" s="2" t="s">
        <v>311</v>
      </c>
      <c r="B105" s="2" t="s">
        <v>311</v>
      </c>
      <c r="C105" s="2" t="s">
        <v>311</v>
      </c>
      <c r="D105" s="2" t="s">
        <v>45</v>
      </c>
      <c r="E105" s="3" t="s">
        <v>26</v>
      </c>
      <c r="F105" s="2" t="s">
        <v>263</v>
      </c>
      <c r="G105" s="4">
        <v>510</v>
      </c>
      <c r="H105" s="3"/>
      <c r="I105" s="4">
        <v>1</v>
      </c>
      <c r="J105" s="4">
        <v>510</v>
      </c>
      <c r="K105" s="4">
        <v>2500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3" t="s">
        <v>26</v>
      </c>
      <c r="U105" s="3" t="s">
        <v>27</v>
      </c>
      <c r="V105" s="3" t="s">
        <v>26</v>
      </c>
    </row>
    <row r="106" spans="1:22" ht="18.75" customHeight="1" x14ac:dyDescent="0.25">
      <c r="A106" s="2" t="s">
        <v>312</v>
      </c>
      <c r="B106" s="2" t="s">
        <v>313</v>
      </c>
      <c r="C106" s="2" t="s">
        <v>314</v>
      </c>
      <c r="D106" s="2" t="s">
        <v>45</v>
      </c>
      <c r="E106" s="3" t="s">
        <v>26</v>
      </c>
      <c r="F106" s="2" t="s">
        <v>263</v>
      </c>
      <c r="G106" s="4">
        <v>500</v>
      </c>
      <c r="H106" s="3"/>
      <c r="I106" s="4">
        <v>1</v>
      </c>
      <c r="J106" s="4">
        <v>500</v>
      </c>
      <c r="K106" s="4">
        <v>1500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3" t="s">
        <v>27</v>
      </c>
      <c r="U106" s="3" t="s">
        <v>27</v>
      </c>
      <c r="V106" s="3" t="s">
        <v>26</v>
      </c>
    </row>
    <row r="107" spans="1:22" ht="18.75" customHeight="1" x14ac:dyDescent="0.25">
      <c r="A107" s="2" t="s">
        <v>315</v>
      </c>
      <c r="B107" s="2" t="s">
        <v>316</v>
      </c>
      <c r="C107" s="2" t="s">
        <v>310</v>
      </c>
      <c r="D107" s="2" t="s">
        <v>31</v>
      </c>
      <c r="E107" s="3" t="s">
        <v>26</v>
      </c>
      <c r="F107" s="2" t="s">
        <v>263</v>
      </c>
      <c r="G107" s="4">
        <v>95</v>
      </c>
      <c r="H107" s="3"/>
      <c r="I107" s="4">
        <v>1</v>
      </c>
      <c r="J107" s="4">
        <v>95</v>
      </c>
      <c r="K107" s="4">
        <v>750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3" t="s">
        <v>27</v>
      </c>
      <c r="U107" s="3" t="s">
        <v>27</v>
      </c>
      <c r="V107" s="3" t="s">
        <v>26</v>
      </c>
    </row>
    <row r="108" spans="1:22" ht="18.75" customHeight="1" x14ac:dyDescent="0.25">
      <c r="A108" s="2" t="s">
        <v>317</v>
      </c>
      <c r="B108" s="2" t="s">
        <v>318</v>
      </c>
      <c r="C108" s="2" t="s">
        <v>319</v>
      </c>
      <c r="D108" s="2" t="s">
        <v>31</v>
      </c>
      <c r="E108" s="3" t="s">
        <v>26</v>
      </c>
      <c r="F108" s="2" t="s">
        <v>263</v>
      </c>
      <c r="G108" s="4">
        <v>960</v>
      </c>
      <c r="H108" s="3"/>
      <c r="I108" s="4">
        <v>0</v>
      </c>
      <c r="J108" s="4">
        <v>960</v>
      </c>
      <c r="K108" s="4">
        <v>1500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3" t="s">
        <v>27</v>
      </c>
      <c r="U108" s="3" t="s">
        <v>27</v>
      </c>
      <c r="V108" s="3" t="s">
        <v>26</v>
      </c>
    </row>
    <row r="109" spans="1:22" ht="18.75" customHeight="1" x14ac:dyDescent="0.25">
      <c r="A109" s="2" t="s">
        <v>320</v>
      </c>
      <c r="B109" s="2" t="s">
        <v>321</v>
      </c>
      <c r="C109" s="2" t="s">
        <v>322</v>
      </c>
      <c r="D109" s="2" t="s">
        <v>45</v>
      </c>
      <c r="E109" s="3" t="s">
        <v>26</v>
      </c>
      <c r="F109" s="2" t="s">
        <v>263</v>
      </c>
      <c r="G109" s="4">
        <v>245</v>
      </c>
      <c r="H109" s="3"/>
      <c r="I109" s="4">
        <v>1</v>
      </c>
      <c r="J109" s="4">
        <v>245</v>
      </c>
      <c r="K109" s="4">
        <v>500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3" t="s">
        <v>27</v>
      </c>
      <c r="U109" s="3" t="s">
        <v>27</v>
      </c>
      <c r="V109" s="3" t="s">
        <v>26</v>
      </c>
    </row>
    <row r="110" spans="1:22" ht="18.75" customHeight="1" x14ac:dyDescent="0.25">
      <c r="A110" s="2" t="s">
        <v>323</v>
      </c>
      <c r="B110" s="2" t="s">
        <v>324</v>
      </c>
      <c r="C110" s="2" t="s">
        <v>325</v>
      </c>
      <c r="D110" s="2" t="s">
        <v>45</v>
      </c>
      <c r="E110" s="3" t="s">
        <v>26</v>
      </c>
      <c r="F110" s="2" t="s">
        <v>263</v>
      </c>
      <c r="G110" s="4">
        <v>2500</v>
      </c>
      <c r="H110" s="3"/>
      <c r="I110" s="4">
        <v>1</v>
      </c>
      <c r="J110" s="4">
        <v>1000</v>
      </c>
      <c r="K110" s="4">
        <v>3500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3" t="s">
        <v>27</v>
      </c>
      <c r="U110" s="3" t="s">
        <v>27</v>
      </c>
      <c r="V110" s="3" t="s">
        <v>26</v>
      </c>
    </row>
    <row r="111" spans="1:22" ht="18.75" customHeight="1" x14ac:dyDescent="0.25">
      <c r="A111" s="2" t="s">
        <v>326</v>
      </c>
      <c r="B111" s="2" t="s">
        <v>327</v>
      </c>
      <c r="C111" s="2" t="s">
        <v>328</v>
      </c>
      <c r="D111" s="2" t="s">
        <v>45</v>
      </c>
      <c r="E111" s="3" t="s">
        <v>26</v>
      </c>
      <c r="F111" s="2" t="s">
        <v>263</v>
      </c>
      <c r="G111" s="4">
        <v>735</v>
      </c>
      <c r="H111" s="3"/>
      <c r="I111" s="4">
        <v>1</v>
      </c>
      <c r="J111" s="4">
        <v>735</v>
      </c>
      <c r="K111" s="4">
        <v>1500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3" t="s">
        <v>26</v>
      </c>
      <c r="U111" s="3" t="s">
        <v>27</v>
      </c>
      <c r="V111" s="3" t="s">
        <v>26</v>
      </c>
    </row>
    <row r="112" spans="1:22" ht="18.75" customHeight="1" x14ac:dyDescent="0.25">
      <c r="A112" s="2" t="s">
        <v>329</v>
      </c>
      <c r="B112" s="2" t="s">
        <v>330</v>
      </c>
      <c r="C112" s="2" t="s">
        <v>331</v>
      </c>
      <c r="D112" s="2" t="s">
        <v>31</v>
      </c>
      <c r="E112" s="3" t="s">
        <v>26</v>
      </c>
      <c r="F112" s="2" t="s">
        <v>263</v>
      </c>
      <c r="G112" s="4">
        <v>358</v>
      </c>
      <c r="H112" s="3"/>
      <c r="I112" s="4">
        <v>0</v>
      </c>
      <c r="J112" s="4">
        <v>358</v>
      </c>
      <c r="K112" s="4">
        <v>2500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3" t="s">
        <v>26</v>
      </c>
      <c r="U112" s="3" t="s">
        <v>27</v>
      </c>
      <c r="V112" s="3" t="s">
        <v>26</v>
      </c>
    </row>
    <row r="113" spans="1:22" ht="18.75" customHeight="1" x14ac:dyDescent="0.25">
      <c r="A113" s="2" t="s">
        <v>332</v>
      </c>
      <c r="B113" s="2" t="s">
        <v>333</v>
      </c>
      <c r="C113" s="2" t="s">
        <v>143</v>
      </c>
      <c r="D113" s="2" t="s">
        <v>25</v>
      </c>
      <c r="E113" s="3" t="s">
        <v>26</v>
      </c>
      <c r="F113" s="2" t="s">
        <v>263</v>
      </c>
      <c r="G113" s="4">
        <v>250</v>
      </c>
      <c r="H113" s="3"/>
      <c r="I113" s="4">
        <v>1</v>
      </c>
      <c r="J113" s="4">
        <v>250</v>
      </c>
      <c r="K113" s="4">
        <v>1500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3" t="s">
        <v>26</v>
      </c>
      <c r="U113" s="3" t="s">
        <v>27</v>
      </c>
      <c r="V113" s="3" t="s">
        <v>26</v>
      </c>
    </row>
    <row r="114" spans="1:22" ht="18.75" customHeight="1" x14ac:dyDescent="0.25">
      <c r="A114" s="2" t="s">
        <v>334</v>
      </c>
      <c r="B114" s="2" t="s">
        <v>335</v>
      </c>
      <c r="C114" s="2" t="s">
        <v>336</v>
      </c>
      <c r="D114" s="2" t="s">
        <v>25</v>
      </c>
      <c r="E114" s="3" t="s">
        <v>26</v>
      </c>
      <c r="F114" s="2" t="s">
        <v>263</v>
      </c>
      <c r="G114" s="4">
        <v>165</v>
      </c>
      <c r="H114" s="3"/>
      <c r="I114" s="4">
        <v>1</v>
      </c>
      <c r="J114" s="4">
        <v>165</v>
      </c>
      <c r="K114" s="4">
        <v>1500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3" t="s">
        <v>26</v>
      </c>
      <c r="U114" s="3" t="s">
        <v>27</v>
      </c>
      <c r="V114" s="3" t="s">
        <v>26</v>
      </c>
    </row>
    <row r="115" spans="1:22" ht="18.75" customHeight="1" x14ac:dyDescent="0.25">
      <c r="A115" s="2" t="s">
        <v>337</v>
      </c>
      <c r="B115" s="2" t="s">
        <v>338</v>
      </c>
      <c r="C115" s="2" t="s">
        <v>339</v>
      </c>
      <c r="D115" s="2" t="s">
        <v>45</v>
      </c>
      <c r="E115" s="3" t="s">
        <v>26</v>
      </c>
      <c r="F115" s="2" t="s">
        <v>263</v>
      </c>
      <c r="G115" s="4">
        <v>500</v>
      </c>
      <c r="H115" s="3"/>
      <c r="I115" s="4">
        <v>1</v>
      </c>
      <c r="J115" s="4">
        <v>500</v>
      </c>
      <c r="K115" s="4">
        <v>1500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3" t="s">
        <v>26</v>
      </c>
      <c r="U115" s="3" t="s">
        <v>27</v>
      </c>
      <c r="V115" s="3" t="s">
        <v>26</v>
      </c>
    </row>
    <row r="116" spans="1:22" ht="18.75" customHeight="1" x14ac:dyDescent="0.25">
      <c r="A116" s="2" t="s">
        <v>340</v>
      </c>
      <c r="B116" s="2" t="s">
        <v>341</v>
      </c>
      <c r="C116" s="2" t="s">
        <v>342</v>
      </c>
      <c r="D116" s="2" t="s">
        <v>31</v>
      </c>
      <c r="E116" s="3" t="s">
        <v>26</v>
      </c>
      <c r="F116" s="2" t="s">
        <v>263</v>
      </c>
      <c r="G116" s="4">
        <v>1700</v>
      </c>
      <c r="H116" s="3"/>
      <c r="I116" s="4">
        <v>1</v>
      </c>
      <c r="J116" s="4">
        <v>1700</v>
      </c>
      <c r="K116" s="4">
        <v>3500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3" t="s">
        <v>26</v>
      </c>
      <c r="U116" s="3" t="s">
        <v>27</v>
      </c>
      <c r="V116" s="3" t="s">
        <v>26</v>
      </c>
    </row>
    <row r="117" spans="1:22" ht="18.75" customHeight="1" x14ac:dyDescent="0.25">
      <c r="A117" s="2" t="s">
        <v>343</v>
      </c>
      <c r="B117" s="2" t="s">
        <v>344</v>
      </c>
      <c r="C117" s="2" t="s">
        <v>344</v>
      </c>
      <c r="D117" s="2" t="s">
        <v>31</v>
      </c>
      <c r="E117" s="3" t="s">
        <v>26</v>
      </c>
      <c r="F117" s="2" t="s">
        <v>263</v>
      </c>
      <c r="G117" s="4">
        <v>247</v>
      </c>
      <c r="H117" s="3"/>
      <c r="I117" s="4">
        <v>0</v>
      </c>
      <c r="J117" s="4">
        <v>247</v>
      </c>
      <c r="K117" s="4">
        <v>1500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3" t="s">
        <v>26</v>
      </c>
      <c r="U117" s="3" t="s">
        <v>27</v>
      </c>
      <c r="V117" s="3" t="s">
        <v>26</v>
      </c>
    </row>
    <row r="118" spans="1:22" ht="18.75" customHeight="1" x14ac:dyDescent="0.25">
      <c r="A118" s="2" t="s">
        <v>345</v>
      </c>
      <c r="B118" s="2" t="s">
        <v>346</v>
      </c>
      <c r="C118" s="2" t="s">
        <v>347</v>
      </c>
      <c r="D118" s="2" t="s">
        <v>31</v>
      </c>
      <c r="E118" s="3" t="s">
        <v>26</v>
      </c>
      <c r="F118" s="2" t="s">
        <v>263</v>
      </c>
      <c r="G118" s="4">
        <v>102</v>
      </c>
      <c r="H118" s="3"/>
      <c r="I118" s="4">
        <v>1</v>
      </c>
      <c r="J118" s="4">
        <v>102</v>
      </c>
      <c r="K118" s="4">
        <v>500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3" t="s">
        <v>27</v>
      </c>
      <c r="U118" s="3" t="s">
        <v>27</v>
      </c>
      <c r="V118" s="3" t="s">
        <v>26</v>
      </c>
    </row>
    <row r="119" spans="1:22" ht="18.75" customHeight="1" x14ac:dyDescent="0.25">
      <c r="A119" s="2" t="s">
        <v>348</v>
      </c>
      <c r="B119" s="2" t="s">
        <v>348</v>
      </c>
      <c r="C119" s="2" t="s">
        <v>348</v>
      </c>
      <c r="D119" s="2" t="s">
        <v>45</v>
      </c>
      <c r="E119" s="3" t="s">
        <v>26</v>
      </c>
      <c r="F119" s="2" t="s">
        <v>263</v>
      </c>
      <c r="G119" s="4">
        <v>230</v>
      </c>
      <c r="H119" s="3"/>
      <c r="I119" s="4">
        <v>1</v>
      </c>
      <c r="J119" s="4">
        <v>230</v>
      </c>
      <c r="K119" s="4">
        <v>1000</v>
      </c>
      <c r="L119" s="4"/>
      <c r="M119" s="4"/>
      <c r="N119" s="4"/>
      <c r="O119" s="4"/>
      <c r="P119" s="4"/>
      <c r="Q119" s="4"/>
      <c r="R119" s="4">
        <v>0</v>
      </c>
      <c r="S119" s="4"/>
      <c r="T119" s="3" t="s">
        <v>27</v>
      </c>
      <c r="U119" s="3" t="s">
        <v>27</v>
      </c>
      <c r="V119" s="3" t="s">
        <v>26</v>
      </c>
    </row>
    <row r="120" spans="1:22" ht="18.75" customHeight="1" x14ac:dyDescent="0.25">
      <c r="A120" s="2" t="s">
        <v>349</v>
      </c>
      <c r="B120" s="2" t="s">
        <v>349</v>
      </c>
      <c r="C120" s="2" t="s">
        <v>350</v>
      </c>
      <c r="D120" s="2" t="s">
        <v>45</v>
      </c>
      <c r="E120" s="3" t="s">
        <v>26</v>
      </c>
      <c r="F120" s="2" t="s">
        <v>263</v>
      </c>
      <c r="G120" s="4">
        <v>500</v>
      </c>
      <c r="H120" s="3"/>
      <c r="I120" s="4">
        <v>1</v>
      </c>
      <c r="J120" s="4">
        <v>500</v>
      </c>
      <c r="K120" s="4">
        <v>2500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3" t="s">
        <v>26</v>
      </c>
      <c r="U120" s="3" t="s">
        <v>27</v>
      </c>
      <c r="V120" s="3" t="s">
        <v>26</v>
      </c>
    </row>
    <row r="121" spans="1:22" ht="18.75" customHeight="1" x14ac:dyDescent="0.25">
      <c r="A121" s="2" t="s">
        <v>351</v>
      </c>
      <c r="B121" s="2" t="s">
        <v>352</v>
      </c>
      <c r="C121" s="2" t="s">
        <v>353</v>
      </c>
      <c r="D121" s="2" t="s">
        <v>25</v>
      </c>
      <c r="E121" s="3" t="s">
        <v>26</v>
      </c>
      <c r="F121" s="2" t="s">
        <v>263</v>
      </c>
      <c r="G121" s="4">
        <v>340</v>
      </c>
      <c r="H121" s="3"/>
      <c r="I121" s="4">
        <v>1</v>
      </c>
      <c r="J121" s="4">
        <v>340</v>
      </c>
      <c r="K121" s="4">
        <v>1000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3" t="s">
        <v>26</v>
      </c>
      <c r="U121" s="3" t="s">
        <v>27</v>
      </c>
      <c r="V121" s="3" t="s">
        <v>26</v>
      </c>
    </row>
    <row r="122" spans="1:22" ht="18.75" customHeight="1" x14ac:dyDescent="0.25">
      <c r="A122" s="2" t="s">
        <v>354</v>
      </c>
      <c r="B122" s="2" t="s">
        <v>355</v>
      </c>
      <c r="C122" s="2" t="s">
        <v>356</v>
      </c>
      <c r="D122" s="2" t="s">
        <v>25</v>
      </c>
      <c r="E122" s="3" t="s">
        <v>26</v>
      </c>
      <c r="F122" s="2" t="s">
        <v>263</v>
      </c>
      <c r="G122" s="4">
        <v>500</v>
      </c>
      <c r="H122" s="3"/>
      <c r="I122" s="4">
        <v>1</v>
      </c>
      <c r="J122" s="4">
        <v>500</v>
      </c>
      <c r="K122" s="4">
        <v>1500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3" t="s">
        <v>27</v>
      </c>
      <c r="U122" s="3" t="s">
        <v>27</v>
      </c>
      <c r="V122" s="3" t="s">
        <v>26</v>
      </c>
    </row>
    <row r="123" spans="1:22" ht="18.75" customHeight="1" x14ac:dyDescent="0.25">
      <c r="A123" s="2" t="s">
        <v>357</v>
      </c>
      <c r="B123" s="2" t="s">
        <v>358</v>
      </c>
      <c r="C123" s="2" t="s">
        <v>339</v>
      </c>
      <c r="D123" s="2" t="s">
        <v>45</v>
      </c>
      <c r="E123" s="3" t="s">
        <v>26</v>
      </c>
      <c r="F123" s="2" t="s">
        <v>263</v>
      </c>
      <c r="G123" s="4">
        <v>250</v>
      </c>
      <c r="H123" s="3"/>
      <c r="I123" s="4">
        <v>0</v>
      </c>
      <c r="J123" s="4">
        <v>250</v>
      </c>
      <c r="K123" s="4">
        <v>750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3" t="s">
        <v>27</v>
      </c>
      <c r="U123" s="3" t="s">
        <v>27</v>
      </c>
      <c r="V123" s="3" t="s">
        <v>26</v>
      </c>
    </row>
    <row r="124" spans="1:22" ht="18.75" customHeight="1" x14ac:dyDescent="0.25">
      <c r="A124" s="2" t="s">
        <v>359</v>
      </c>
      <c r="B124" s="2" t="s">
        <v>360</v>
      </c>
      <c r="C124" s="2" t="s">
        <v>361</v>
      </c>
      <c r="D124" s="2" t="s">
        <v>45</v>
      </c>
      <c r="E124" s="3" t="s">
        <v>26</v>
      </c>
      <c r="F124" s="2" t="s">
        <v>263</v>
      </c>
      <c r="G124" s="4">
        <v>248</v>
      </c>
      <c r="H124" s="3"/>
      <c r="I124" s="4">
        <v>1</v>
      </c>
      <c r="J124" s="4">
        <v>248</v>
      </c>
      <c r="K124" s="4">
        <v>500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3" t="s">
        <v>27</v>
      </c>
      <c r="U124" s="3" t="s">
        <v>27</v>
      </c>
      <c r="V124" s="3" t="s">
        <v>26</v>
      </c>
    </row>
    <row r="125" spans="1:22" ht="18.75" customHeight="1" x14ac:dyDescent="0.25">
      <c r="A125" s="2" t="s">
        <v>362</v>
      </c>
      <c r="B125" s="2" t="s">
        <v>363</v>
      </c>
      <c r="C125" s="2" t="s">
        <v>24</v>
      </c>
      <c r="D125" s="2" t="s">
        <v>45</v>
      </c>
      <c r="E125" s="3" t="s">
        <v>26</v>
      </c>
      <c r="F125" s="2" t="s">
        <v>263</v>
      </c>
      <c r="G125" s="4">
        <v>500</v>
      </c>
      <c r="H125" s="3"/>
      <c r="I125" s="4">
        <v>1</v>
      </c>
      <c r="J125" s="4">
        <v>500</v>
      </c>
      <c r="K125" s="4">
        <v>1000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3" t="s">
        <v>27</v>
      </c>
      <c r="U125" s="3" t="s">
        <v>27</v>
      </c>
      <c r="V125" s="3" t="s">
        <v>26</v>
      </c>
    </row>
    <row r="126" spans="1:22" ht="18.75" customHeight="1" x14ac:dyDescent="0.25">
      <c r="A126" s="2" t="s">
        <v>364</v>
      </c>
      <c r="B126" s="2" t="s">
        <v>365</v>
      </c>
      <c r="C126" s="2" t="s">
        <v>307</v>
      </c>
      <c r="D126" s="2" t="s">
        <v>35</v>
      </c>
      <c r="E126" s="3" t="s">
        <v>26</v>
      </c>
      <c r="F126" s="2" t="s">
        <v>263</v>
      </c>
      <c r="G126" s="4">
        <v>436</v>
      </c>
      <c r="H126" s="3"/>
      <c r="I126" s="4">
        <v>1</v>
      </c>
      <c r="J126" s="4">
        <v>436</v>
      </c>
      <c r="K126" s="4">
        <v>2000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3" t="s">
        <v>26</v>
      </c>
      <c r="U126" s="3" t="s">
        <v>27</v>
      </c>
      <c r="V126" s="3" t="s">
        <v>26</v>
      </c>
    </row>
    <row r="127" spans="1:22" ht="18.75" customHeight="1" x14ac:dyDescent="0.25">
      <c r="A127" s="2" t="s">
        <v>366</v>
      </c>
      <c r="B127" s="2" t="s">
        <v>366</v>
      </c>
      <c r="C127" s="2" t="s">
        <v>367</v>
      </c>
      <c r="D127" s="2" t="s">
        <v>45</v>
      </c>
      <c r="E127" s="3" t="s">
        <v>26</v>
      </c>
      <c r="F127" s="2" t="s">
        <v>263</v>
      </c>
      <c r="G127" s="4">
        <v>475</v>
      </c>
      <c r="H127" s="3"/>
      <c r="I127" s="4">
        <v>1</v>
      </c>
      <c r="J127" s="4">
        <v>475</v>
      </c>
      <c r="K127" s="4">
        <v>2000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3" t="s">
        <v>26</v>
      </c>
      <c r="U127" s="3" t="s">
        <v>27</v>
      </c>
      <c r="V127" s="3" t="s">
        <v>26</v>
      </c>
    </row>
    <row r="128" spans="1:22" ht="18.75" customHeight="1" x14ac:dyDescent="0.25">
      <c r="A128" s="2" t="s">
        <v>368</v>
      </c>
      <c r="B128" s="2" t="s">
        <v>369</v>
      </c>
      <c r="C128" s="2" t="s">
        <v>370</v>
      </c>
      <c r="D128" s="2" t="s">
        <v>35</v>
      </c>
      <c r="E128" s="3" t="s">
        <v>26</v>
      </c>
      <c r="F128" s="2" t="s">
        <v>263</v>
      </c>
      <c r="G128" s="4">
        <v>155</v>
      </c>
      <c r="H128" s="3"/>
      <c r="I128" s="4">
        <v>1</v>
      </c>
      <c r="J128" s="4">
        <v>155</v>
      </c>
      <c r="K128" s="4">
        <v>1000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3" t="s">
        <v>27</v>
      </c>
      <c r="U128" s="3" t="s">
        <v>27</v>
      </c>
      <c r="V128" s="3" t="s">
        <v>26</v>
      </c>
    </row>
    <row r="129" spans="1:22" ht="18.75" customHeight="1" x14ac:dyDescent="0.25">
      <c r="A129" s="2" t="s">
        <v>371</v>
      </c>
      <c r="B129" s="2" t="s">
        <v>372</v>
      </c>
      <c r="C129" s="2" t="s">
        <v>373</v>
      </c>
      <c r="D129" s="2" t="s">
        <v>31</v>
      </c>
      <c r="E129" s="3" t="s">
        <v>26</v>
      </c>
      <c r="F129" s="2" t="s">
        <v>263</v>
      </c>
      <c r="G129" s="4">
        <v>180</v>
      </c>
      <c r="H129" s="3"/>
      <c r="I129" s="4">
        <v>1</v>
      </c>
      <c r="J129" s="4">
        <v>180</v>
      </c>
      <c r="K129" s="4">
        <v>1000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3" t="s">
        <v>27</v>
      </c>
      <c r="U129" s="3" t="s">
        <v>27</v>
      </c>
      <c r="V129" s="3" t="s">
        <v>26</v>
      </c>
    </row>
    <row r="130" spans="1:22" ht="18.75" customHeight="1" x14ac:dyDescent="0.25">
      <c r="A130" s="2" t="s">
        <v>374</v>
      </c>
      <c r="B130" s="2" t="s">
        <v>375</v>
      </c>
      <c r="C130" s="2" t="s">
        <v>376</v>
      </c>
      <c r="D130" s="2" t="s">
        <v>45</v>
      </c>
      <c r="E130" s="3" t="s">
        <v>26</v>
      </c>
      <c r="F130" s="2" t="s">
        <v>263</v>
      </c>
      <c r="G130" s="4">
        <v>500</v>
      </c>
      <c r="H130" s="3"/>
      <c r="I130" s="4">
        <v>1</v>
      </c>
      <c r="J130" s="4">
        <v>500</v>
      </c>
      <c r="K130" s="4">
        <v>1500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3" t="s">
        <v>27</v>
      </c>
      <c r="U130" s="3" t="s">
        <v>27</v>
      </c>
      <c r="V130" s="3" t="s">
        <v>26</v>
      </c>
    </row>
    <row r="131" spans="1:22" ht="18.75" customHeight="1" x14ac:dyDescent="0.25">
      <c r="A131" s="2" t="s">
        <v>377</v>
      </c>
      <c r="B131" s="2" t="s">
        <v>378</v>
      </c>
      <c r="C131" s="2" t="s">
        <v>379</v>
      </c>
      <c r="D131" s="2" t="s">
        <v>45</v>
      </c>
      <c r="E131" s="3" t="s">
        <v>26</v>
      </c>
      <c r="F131" s="2" t="s">
        <v>263</v>
      </c>
      <c r="G131" s="4">
        <v>350</v>
      </c>
      <c r="H131" s="3"/>
      <c r="I131" s="4">
        <v>1</v>
      </c>
      <c r="J131" s="4">
        <v>350</v>
      </c>
      <c r="K131" s="4">
        <v>2000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3" t="s">
        <v>26</v>
      </c>
      <c r="U131" s="3" t="s">
        <v>27</v>
      </c>
      <c r="V131" s="3" t="s">
        <v>26</v>
      </c>
    </row>
    <row r="132" spans="1:22" ht="18.75" customHeight="1" x14ac:dyDescent="0.25">
      <c r="A132" s="2" t="s">
        <v>380</v>
      </c>
      <c r="B132" s="2" t="s">
        <v>381</v>
      </c>
      <c r="C132" s="2" t="s">
        <v>382</v>
      </c>
      <c r="D132" s="2" t="s">
        <v>45</v>
      </c>
      <c r="E132" s="3" t="s">
        <v>26</v>
      </c>
      <c r="F132" s="2" t="s">
        <v>263</v>
      </c>
      <c r="G132" s="4">
        <v>650</v>
      </c>
      <c r="H132" s="3"/>
      <c r="I132" s="4">
        <v>1</v>
      </c>
      <c r="J132" s="4">
        <v>650</v>
      </c>
      <c r="K132" s="4">
        <v>2500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3" t="s">
        <v>26</v>
      </c>
      <c r="U132" s="3" t="s">
        <v>27</v>
      </c>
      <c r="V132" s="3" t="s">
        <v>26</v>
      </c>
    </row>
    <row r="133" spans="1:22" ht="18.75" customHeight="1" x14ac:dyDescent="0.25">
      <c r="A133" s="2" t="s">
        <v>383</v>
      </c>
      <c r="B133" s="2" t="s">
        <v>384</v>
      </c>
      <c r="C133" s="2" t="s">
        <v>385</v>
      </c>
      <c r="D133" s="2" t="s">
        <v>31</v>
      </c>
      <c r="E133" s="3" t="s">
        <v>26</v>
      </c>
      <c r="F133" s="2" t="s">
        <v>263</v>
      </c>
      <c r="G133" s="4">
        <v>271</v>
      </c>
      <c r="H133" s="3"/>
      <c r="I133" s="4">
        <v>0</v>
      </c>
      <c r="J133" s="4">
        <v>271</v>
      </c>
      <c r="K133" s="4">
        <v>1000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3" t="s">
        <v>27</v>
      </c>
      <c r="U133" s="3" t="s">
        <v>27</v>
      </c>
      <c r="V133" s="3" t="s">
        <v>26</v>
      </c>
    </row>
    <row r="134" spans="1:22" ht="18.75" customHeight="1" x14ac:dyDescent="0.25">
      <c r="A134" s="2" t="s">
        <v>386</v>
      </c>
      <c r="B134" s="2" t="s">
        <v>386</v>
      </c>
      <c r="C134" s="2" t="s">
        <v>24</v>
      </c>
      <c r="D134" s="2" t="s">
        <v>35</v>
      </c>
      <c r="E134" s="3" t="s">
        <v>26</v>
      </c>
      <c r="F134" s="2" t="s">
        <v>263</v>
      </c>
      <c r="G134" s="4">
        <v>500</v>
      </c>
      <c r="H134" s="3"/>
      <c r="I134" s="4">
        <v>1</v>
      </c>
      <c r="J134" s="4">
        <v>500</v>
      </c>
      <c r="K134" s="4">
        <v>1000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3" t="s">
        <v>27</v>
      </c>
      <c r="U134" s="3" t="s">
        <v>27</v>
      </c>
      <c r="V134" s="3" t="s">
        <v>26</v>
      </c>
    </row>
    <row r="135" spans="1:22" ht="18.75" customHeight="1" x14ac:dyDescent="0.25">
      <c r="A135" s="2" t="s">
        <v>387</v>
      </c>
      <c r="B135" s="2" t="s">
        <v>387</v>
      </c>
      <c r="C135" s="2" t="s">
        <v>388</v>
      </c>
      <c r="D135" s="2" t="s">
        <v>45</v>
      </c>
      <c r="E135" s="3" t="s">
        <v>26</v>
      </c>
      <c r="F135" s="2" t="s">
        <v>263</v>
      </c>
      <c r="G135" s="4">
        <v>68</v>
      </c>
      <c r="H135" s="3"/>
      <c r="I135" s="4">
        <v>0</v>
      </c>
      <c r="J135" s="4">
        <v>68</v>
      </c>
      <c r="K135" s="4">
        <v>500</v>
      </c>
      <c r="L135" s="4"/>
      <c r="M135" s="4"/>
      <c r="N135" s="4"/>
      <c r="O135" s="4"/>
      <c r="P135" s="4"/>
      <c r="Q135" s="4"/>
      <c r="R135" s="4">
        <v>0</v>
      </c>
      <c r="S135" s="4"/>
      <c r="T135" s="3" t="s">
        <v>27</v>
      </c>
      <c r="U135" s="3" t="s">
        <v>27</v>
      </c>
      <c r="V135" s="3" t="s">
        <v>26</v>
      </c>
    </row>
    <row r="136" spans="1:22" ht="18.75" customHeight="1" x14ac:dyDescent="0.25">
      <c r="A136" s="2" t="s">
        <v>389</v>
      </c>
      <c r="B136" s="2" t="s">
        <v>390</v>
      </c>
      <c r="C136" s="2" t="s">
        <v>391</v>
      </c>
      <c r="D136" s="2" t="s">
        <v>35</v>
      </c>
      <c r="E136" s="3" t="s">
        <v>26</v>
      </c>
      <c r="F136" s="2" t="s">
        <v>263</v>
      </c>
      <c r="G136" s="4">
        <v>137</v>
      </c>
      <c r="H136" s="3"/>
      <c r="I136" s="4">
        <v>1</v>
      </c>
      <c r="J136" s="4">
        <v>180</v>
      </c>
      <c r="K136" s="4">
        <v>1000</v>
      </c>
      <c r="L136" s="4"/>
      <c r="M136" s="4"/>
      <c r="N136" s="4"/>
      <c r="O136" s="4"/>
      <c r="P136" s="4"/>
      <c r="Q136" s="4"/>
      <c r="R136" s="4">
        <v>0</v>
      </c>
      <c r="S136" s="4"/>
      <c r="T136" s="3" t="s">
        <v>27</v>
      </c>
      <c r="U136" s="3" t="s">
        <v>27</v>
      </c>
      <c r="V136" s="3" t="s">
        <v>26</v>
      </c>
    </row>
    <row r="137" spans="1:22" ht="18.75" customHeight="1" x14ac:dyDescent="0.25">
      <c r="A137" s="2" t="s">
        <v>392</v>
      </c>
      <c r="B137" s="2" t="s">
        <v>393</v>
      </c>
      <c r="C137" s="2" t="s">
        <v>394</v>
      </c>
      <c r="D137" s="2" t="s">
        <v>25</v>
      </c>
      <c r="E137" s="3" t="s">
        <v>26</v>
      </c>
      <c r="F137" s="2" t="s">
        <v>263</v>
      </c>
      <c r="G137" s="4">
        <v>175</v>
      </c>
      <c r="H137" s="3"/>
      <c r="I137" s="4">
        <v>1</v>
      </c>
      <c r="J137" s="4">
        <v>175</v>
      </c>
      <c r="K137" s="4">
        <v>1000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3" t="s">
        <v>27</v>
      </c>
      <c r="U137" s="3" t="s">
        <v>27</v>
      </c>
      <c r="V137" s="3" t="s">
        <v>26</v>
      </c>
    </row>
    <row r="138" spans="1:22" ht="18.75" customHeight="1" x14ac:dyDescent="0.25">
      <c r="A138" s="2" t="s">
        <v>395</v>
      </c>
      <c r="B138" s="2" t="s">
        <v>395</v>
      </c>
      <c r="C138" s="2" t="s">
        <v>396</v>
      </c>
      <c r="D138" s="2" t="s">
        <v>45</v>
      </c>
      <c r="E138" s="3" t="s">
        <v>26</v>
      </c>
      <c r="F138" s="2" t="s">
        <v>263</v>
      </c>
      <c r="G138" s="4">
        <v>1080</v>
      </c>
      <c r="H138" s="3"/>
      <c r="I138" s="4">
        <v>1</v>
      </c>
      <c r="J138" s="4">
        <v>1080</v>
      </c>
      <c r="K138" s="4">
        <v>3000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3" t="s">
        <v>26</v>
      </c>
      <c r="U138" s="3" t="s">
        <v>27</v>
      </c>
      <c r="V138" s="3" t="s">
        <v>26</v>
      </c>
    </row>
    <row r="139" spans="1:22" ht="18.75" customHeight="1" x14ac:dyDescent="0.25">
      <c r="A139" s="2" t="s">
        <v>397</v>
      </c>
      <c r="B139" s="2" t="s">
        <v>398</v>
      </c>
      <c r="C139" s="2" t="s">
        <v>399</v>
      </c>
      <c r="D139" s="2" t="s">
        <v>31</v>
      </c>
      <c r="E139" s="3" t="s">
        <v>26</v>
      </c>
      <c r="F139" s="2" t="s">
        <v>263</v>
      </c>
      <c r="G139" s="4">
        <v>370</v>
      </c>
      <c r="H139" s="3"/>
      <c r="I139" s="4">
        <v>0</v>
      </c>
      <c r="J139" s="4">
        <v>370</v>
      </c>
      <c r="K139" s="4">
        <v>1500</v>
      </c>
      <c r="L139" s="4"/>
      <c r="M139" s="4"/>
      <c r="N139" s="4"/>
      <c r="O139" s="4"/>
      <c r="P139" s="4"/>
      <c r="Q139" s="4"/>
      <c r="R139" s="4">
        <v>0</v>
      </c>
      <c r="S139" s="4"/>
      <c r="T139" s="3" t="s">
        <v>26</v>
      </c>
      <c r="U139" s="3" t="s">
        <v>27</v>
      </c>
      <c r="V139" s="3" t="s">
        <v>26</v>
      </c>
    </row>
    <row r="140" spans="1:22" ht="18.75" customHeight="1" x14ac:dyDescent="0.25">
      <c r="A140" s="2" t="s">
        <v>400</v>
      </c>
      <c r="B140" s="2" t="s">
        <v>401</v>
      </c>
      <c r="C140" s="2" t="s">
        <v>402</v>
      </c>
      <c r="D140" s="3"/>
      <c r="E140" s="3" t="s">
        <v>26</v>
      </c>
      <c r="F140" s="2" t="s">
        <v>263</v>
      </c>
      <c r="G140" s="4">
        <v>155</v>
      </c>
      <c r="H140" s="3"/>
      <c r="I140" s="4">
        <v>1</v>
      </c>
      <c r="J140" s="4">
        <v>155</v>
      </c>
      <c r="K140" s="4">
        <v>1000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3" t="s">
        <v>27</v>
      </c>
      <c r="U140" s="3" t="s">
        <v>27</v>
      </c>
      <c r="V140" s="3" t="s">
        <v>26</v>
      </c>
    </row>
    <row r="141" spans="1:22" ht="18.75" customHeight="1" x14ac:dyDescent="0.25">
      <c r="A141" s="2" t="s">
        <v>403</v>
      </c>
      <c r="B141" s="2" t="s">
        <v>404</v>
      </c>
      <c r="C141" s="2" t="s">
        <v>405</v>
      </c>
      <c r="D141" s="2" t="s">
        <v>25</v>
      </c>
      <c r="E141" s="3" t="s">
        <v>26</v>
      </c>
      <c r="F141" s="2" t="s">
        <v>263</v>
      </c>
      <c r="G141" s="4">
        <v>230</v>
      </c>
      <c r="H141" s="3"/>
      <c r="I141" s="4">
        <v>0</v>
      </c>
      <c r="J141" s="4">
        <v>230</v>
      </c>
      <c r="K141" s="4">
        <v>1000</v>
      </c>
      <c r="L141" s="4"/>
      <c r="M141" s="4"/>
      <c r="N141" s="4"/>
      <c r="O141" s="4"/>
      <c r="P141" s="4"/>
      <c r="Q141" s="4"/>
      <c r="R141" s="4">
        <v>0</v>
      </c>
      <c r="S141" s="4"/>
      <c r="T141" s="3" t="s">
        <v>27</v>
      </c>
      <c r="U141" s="3" t="s">
        <v>27</v>
      </c>
      <c r="V141" s="3" t="s">
        <v>26</v>
      </c>
    </row>
    <row r="142" spans="1:22" ht="18.75" customHeight="1" x14ac:dyDescent="0.25">
      <c r="A142" s="2" t="s">
        <v>406</v>
      </c>
      <c r="B142" s="2" t="s">
        <v>407</v>
      </c>
      <c r="C142" s="2" t="s">
        <v>408</v>
      </c>
      <c r="D142" s="2" t="s">
        <v>25</v>
      </c>
      <c r="E142" s="3" t="s">
        <v>26</v>
      </c>
      <c r="F142" s="2" t="s">
        <v>263</v>
      </c>
      <c r="G142" s="4">
        <v>193</v>
      </c>
      <c r="H142" s="3"/>
      <c r="I142" s="4">
        <v>1</v>
      </c>
      <c r="J142" s="4">
        <v>193</v>
      </c>
      <c r="K142" s="4">
        <v>500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3" t="s">
        <v>27</v>
      </c>
      <c r="U142" s="3" t="s">
        <v>27</v>
      </c>
      <c r="V142" s="3" t="s">
        <v>26</v>
      </c>
    </row>
    <row r="143" spans="1:22" ht="18.75" customHeight="1" x14ac:dyDescent="0.25">
      <c r="A143" s="2" t="s">
        <v>409</v>
      </c>
      <c r="B143" s="2" t="s">
        <v>410</v>
      </c>
      <c r="C143" s="2" t="s">
        <v>411</v>
      </c>
      <c r="D143" s="2" t="s">
        <v>31</v>
      </c>
      <c r="E143" s="3" t="s">
        <v>26</v>
      </c>
      <c r="F143" s="2" t="s">
        <v>263</v>
      </c>
      <c r="G143" s="4">
        <v>1350</v>
      </c>
      <c r="H143" s="3"/>
      <c r="I143" s="4">
        <v>1</v>
      </c>
      <c r="J143" s="4">
        <v>1350</v>
      </c>
      <c r="K143" s="4">
        <v>3500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3" t="s">
        <v>26</v>
      </c>
      <c r="U143" s="3" t="s">
        <v>27</v>
      </c>
      <c r="V143" s="3" t="s">
        <v>26</v>
      </c>
    </row>
    <row r="144" spans="1:22" ht="18.75" customHeight="1" x14ac:dyDescent="0.25">
      <c r="A144" s="2" t="s">
        <v>412</v>
      </c>
      <c r="B144" s="2" t="s">
        <v>413</v>
      </c>
      <c r="C144" s="2" t="s">
        <v>287</v>
      </c>
      <c r="D144" s="2" t="s">
        <v>45</v>
      </c>
      <c r="E144" s="3" t="s">
        <v>26</v>
      </c>
      <c r="F144" s="2" t="s">
        <v>263</v>
      </c>
      <c r="G144" s="4">
        <v>95</v>
      </c>
      <c r="H144" s="3"/>
      <c r="I144" s="4">
        <v>1</v>
      </c>
      <c r="J144" s="4">
        <v>95</v>
      </c>
      <c r="K144" s="4">
        <v>500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3" t="s">
        <v>27</v>
      </c>
      <c r="U144" s="3" t="s">
        <v>27</v>
      </c>
      <c r="V144" s="3" t="s">
        <v>26</v>
      </c>
    </row>
    <row r="145" spans="1:22" ht="18.75" customHeight="1" x14ac:dyDescent="0.25">
      <c r="A145" s="2" t="s">
        <v>414</v>
      </c>
      <c r="B145" s="2" t="s">
        <v>415</v>
      </c>
      <c r="C145" s="2" t="s">
        <v>416</v>
      </c>
      <c r="D145" s="2" t="s">
        <v>25</v>
      </c>
      <c r="E145" s="3" t="s">
        <v>26</v>
      </c>
      <c r="F145" s="2" t="s">
        <v>263</v>
      </c>
      <c r="G145" s="4">
        <v>550</v>
      </c>
      <c r="H145" s="3"/>
      <c r="I145" s="4">
        <v>0</v>
      </c>
      <c r="J145" s="4">
        <v>550</v>
      </c>
      <c r="K145" s="4">
        <v>1000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3" t="s">
        <v>27</v>
      </c>
      <c r="U145" s="3" t="s">
        <v>27</v>
      </c>
      <c r="V145" s="3" t="s">
        <v>26</v>
      </c>
    </row>
    <row r="146" spans="1:22" ht="18.75" customHeight="1" x14ac:dyDescent="0.25">
      <c r="A146" s="2" t="s">
        <v>417</v>
      </c>
      <c r="B146" s="2" t="s">
        <v>418</v>
      </c>
      <c r="C146" s="2" t="s">
        <v>24</v>
      </c>
      <c r="D146" s="2" t="s">
        <v>31</v>
      </c>
      <c r="E146" s="3" t="s">
        <v>26</v>
      </c>
      <c r="F146" s="2" t="s">
        <v>263</v>
      </c>
      <c r="G146" s="4">
        <v>245</v>
      </c>
      <c r="H146" s="3"/>
      <c r="I146" s="4">
        <v>0</v>
      </c>
      <c r="J146" s="4">
        <v>245.3</v>
      </c>
      <c r="K146" s="4">
        <v>500</v>
      </c>
      <c r="L146" s="4"/>
      <c r="M146" s="4"/>
      <c r="N146" s="4"/>
      <c r="O146" s="4"/>
      <c r="P146" s="4"/>
      <c r="Q146" s="4"/>
      <c r="R146" s="4">
        <v>0</v>
      </c>
      <c r="S146" s="4"/>
      <c r="T146" s="3" t="s">
        <v>27</v>
      </c>
      <c r="U146" s="3" t="s">
        <v>27</v>
      </c>
      <c r="V146" s="3" t="s">
        <v>26</v>
      </c>
    </row>
    <row r="147" spans="1:22" ht="18.75" customHeight="1" x14ac:dyDescent="0.25">
      <c r="A147" s="2" t="s">
        <v>419</v>
      </c>
      <c r="B147" s="2" t="s">
        <v>420</v>
      </c>
      <c r="C147" s="2" t="s">
        <v>421</v>
      </c>
      <c r="D147" s="2" t="s">
        <v>45</v>
      </c>
      <c r="E147" s="3" t="s">
        <v>26</v>
      </c>
      <c r="F147" s="2" t="s">
        <v>263</v>
      </c>
      <c r="G147" s="4">
        <v>283</v>
      </c>
      <c r="H147" s="3"/>
      <c r="I147" s="4">
        <v>0</v>
      </c>
      <c r="J147" s="4">
        <v>283</v>
      </c>
      <c r="K147" s="4">
        <v>1000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3" t="s">
        <v>27</v>
      </c>
      <c r="U147" s="3" t="s">
        <v>27</v>
      </c>
      <c r="V147" s="3" t="s">
        <v>26</v>
      </c>
    </row>
    <row r="148" spans="1:22" ht="18.75" customHeight="1" x14ac:dyDescent="0.25">
      <c r="A148" s="2" t="s">
        <v>422</v>
      </c>
      <c r="B148" s="2" t="s">
        <v>423</v>
      </c>
      <c r="C148" s="2" t="s">
        <v>424</v>
      </c>
      <c r="D148" s="2" t="s">
        <v>45</v>
      </c>
      <c r="E148" s="3" t="s">
        <v>26</v>
      </c>
      <c r="F148" s="2" t="s">
        <v>263</v>
      </c>
      <c r="G148" s="4">
        <v>405</v>
      </c>
      <c r="H148" s="3"/>
      <c r="I148" s="4">
        <v>1</v>
      </c>
      <c r="J148" s="4">
        <v>405</v>
      </c>
      <c r="K148" s="4">
        <v>1000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3" t="s">
        <v>27</v>
      </c>
      <c r="U148" s="3" t="s">
        <v>27</v>
      </c>
      <c r="V148" s="3" t="s">
        <v>26</v>
      </c>
    </row>
    <row r="149" spans="1:22" ht="18.75" customHeight="1" x14ac:dyDescent="0.25">
      <c r="A149" s="2" t="s">
        <v>425</v>
      </c>
      <c r="B149" s="2" t="s">
        <v>425</v>
      </c>
      <c r="C149" s="2" t="s">
        <v>425</v>
      </c>
      <c r="D149" s="3"/>
      <c r="E149" s="3" t="s">
        <v>26</v>
      </c>
      <c r="F149" s="2" t="s">
        <v>426</v>
      </c>
      <c r="G149" s="4">
        <v>1150</v>
      </c>
      <c r="H149" s="3"/>
      <c r="I149" s="4">
        <v>1</v>
      </c>
      <c r="J149" s="4">
        <v>1075.04</v>
      </c>
      <c r="K149" s="4">
        <v>2500</v>
      </c>
      <c r="L149" s="4"/>
      <c r="M149" s="4"/>
      <c r="N149" s="4"/>
      <c r="O149" s="4"/>
      <c r="P149" s="4"/>
      <c r="Q149" s="4"/>
      <c r="R149" s="4">
        <v>0</v>
      </c>
      <c r="S149" s="4"/>
      <c r="T149" s="3" t="s">
        <v>26</v>
      </c>
      <c r="U149" s="3" t="s">
        <v>27</v>
      </c>
      <c r="V149" s="3" t="s">
        <v>26</v>
      </c>
    </row>
    <row r="150" spans="1:22" ht="18.75" customHeight="1" x14ac:dyDescent="0.25">
      <c r="A150" s="2" t="s">
        <v>427</v>
      </c>
      <c r="B150" s="2" t="s">
        <v>428</v>
      </c>
      <c r="C150" s="2" t="s">
        <v>429</v>
      </c>
      <c r="D150" s="2" t="s">
        <v>45</v>
      </c>
      <c r="E150" s="3" t="s">
        <v>26</v>
      </c>
      <c r="F150" s="2" t="s">
        <v>426</v>
      </c>
      <c r="G150" s="4">
        <v>115</v>
      </c>
      <c r="H150" s="3"/>
      <c r="I150" s="4">
        <v>1</v>
      </c>
      <c r="J150" s="4">
        <v>152.28</v>
      </c>
      <c r="K150" s="4">
        <v>1500</v>
      </c>
      <c r="L150" s="4"/>
      <c r="M150" s="4"/>
      <c r="N150" s="4"/>
      <c r="O150" s="4"/>
      <c r="P150" s="4"/>
      <c r="Q150" s="4"/>
      <c r="R150" s="4">
        <v>0</v>
      </c>
      <c r="S150" s="4"/>
      <c r="T150" s="3" t="s">
        <v>27</v>
      </c>
      <c r="U150" s="3" t="s">
        <v>27</v>
      </c>
      <c r="V150" s="3" t="s">
        <v>26</v>
      </c>
    </row>
    <row r="151" spans="1:22" ht="18.75" customHeight="1" x14ac:dyDescent="0.25">
      <c r="A151" s="2" t="s">
        <v>430</v>
      </c>
      <c r="B151" s="2" t="s">
        <v>431</v>
      </c>
      <c r="C151" s="2" t="s">
        <v>432</v>
      </c>
      <c r="D151" s="2" t="s">
        <v>45</v>
      </c>
      <c r="E151" s="3" t="s">
        <v>26</v>
      </c>
      <c r="F151" s="2" t="s">
        <v>433</v>
      </c>
      <c r="G151" s="4">
        <v>630</v>
      </c>
      <c r="H151" s="3"/>
      <c r="I151" s="4">
        <v>1</v>
      </c>
      <c r="J151" s="4">
        <v>630</v>
      </c>
      <c r="K151" s="4">
        <v>1500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3" t="s">
        <v>26</v>
      </c>
      <c r="U151" s="3" t="s">
        <v>27</v>
      </c>
      <c r="V151" s="3" t="s">
        <v>26</v>
      </c>
    </row>
    <row r="152" spans="1:22" ht="18.75" customHeight="1" x14ac:dyDescent="0.25">
      <c r="A152" s="2" t="s">
        <v>434</v>
      </c>
      <c r="B152" s="2" t="s">
        <v>435</v>
      </c>
      <c r="C152" s="2" t="s">
        <v>436</v>
      </c>
      <c r="D152" s="2" t="s">
        <v>31</v>
      </c>
      <c r="E152" s="3" t="s">
        <v>26</v>
      </c>
      <c r="F152" s="2" t="s">
        <v>433</v>
      </c>
      <c r="G152" s="4">
        <v>2850</v>
      </c>
      <c r="H152" s="3"/>
      <c r="I152" s="4">
        <v>1</v>
      </c>
      <c r="J152" s="4">
        <v>2850</v>
      </c>
      <c r="K152" s="4">
        <v>4000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3" t="s">
        <v>26</v>
      </c>
      <c r="U152" s="3" t="s">
        <v>27</v>
      </c>
      <c r="V152" s="3" t="s">
        <v>26</v>
      </c>
    </row>
    <row r="153" spans="1:22" ht="18.75" customHeight="1" x14ac:dyDescent="0.25">
      <c r="A153" s="2" t="s">
        <v>437</v>
      </c>
      <c r="B153" s="2" t="s">
        <v>438</v>
      </c>
      <c r="C153" s="2" t="s">
        <v>439</v>
      </c>
      <c r="D153" s="2" t="s">
        <v>45</v>
      </c>
      <c r="E153" s="3" t="s">
        <v>26</v>
      </c>
      <c r="F153" s="2" t="s">
        <v>440</v>
      </c>
      <c r="G153" s="4">
        <v>0</v>
      </c>
      <c r="H153" s="3"/>
      <c r="I153" s="4">
        <v>0</v>
      </c>
      <c r="J153" s="4">
        <v>0</v>
      </c>
      <c r="K153" s="4">
        <v>500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3" t="s">
        <v>27</v>
      </c>
      <c r="U153" s="3" t="s">
        <v>27</v>
      </c>
      <c r="V153" s="3" t="s">
        <v>26</v>
      </c>
    </row>
    <row r="154" spans="1:22" ht="18.75" customHeight="1" x14ac:dyDescent="0.25">
      <c r="A154" s="2" t="s">
        <v>441</v>
      </c>
      <c r="B154" s="2" t="s">
        <v>442</v>
      </c>
      <c r="C154" s="2" t="s">
        <v>443</v>
      </c>
      <c r="D154" s="2" t="s">
        <v>31</v>
      </c>
      <c r="E154" s="3" t="s">
        <v>26</v>
      </c>
      <c r="F154" s="2" t="s">
        <v>444</v>
      </c>
      <c r="G154" s="4">
        <v>15000</v>
      </c>
      <c r="H154" s="3"/>
      <c r="I154" s="4">
        <v>0</v>
      </c>
      <c r="J154" s="4">
        <v>15000</v>
      </c>
      <c r="K154" s="4">
        <v>19500</v>
      </c>
      <c r="L154" s="4"/>
      <c r="M154" s="4"/>
      <c r="N154" s="4"/>
      <c r="O154" s="4"/>
      <c r="P154" s="4"/>
      <c r="Q154" s="4"/>
      <c r="R154" s="4">
        <v>0</v>
      </c>
      <c r="S154" s="4"/>
      <c r="T154" s="3" t="s">
        <v>27</v>
      </c>
      <c r="U154" s="3" t="s">
        <v>27</v>
      </c>
      <c r="V154" s="3" t="s">
        <v>26</v>
      </c>
    </row>
    <row r="155" spans="1:22" ht="18.75" customHeight="1" x14ac:dyDescent="0.25">
      <c r="A155" s="2" t="s">
        <v>445</v>
      </c>
      <c r="B155" s="2" t="s">
        <v>446</v>
      </c>
      <c r="C155" s="2" t="s">
        <v>115</v>
      </c>
      <c r="D155" s="2" t="s">
        <v>45</v>
      </c>
      <c r="E155" s="3" t="s">
        <v>26</v>
      </c>
      <c r="F155" s="2" t="s">
        <v>447</v>
      </c>
      <c r="G155" s="4">
        <v>350</v>
      </c>
      <c r="H155" s="3"/>
      <c r="I155" s="4">
        <v>0</v>
      </c>
      <c r="J155" s="4">
        <v>350</v>
      </c>
      <c r="K155" s="4">
        <v>2000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3" t="s">
        <v>26</v>
      </c>
      <c r="U155" s="3" t="s">
        <v>27</v>
      </c>
      <c r="V155" s="3" t="s">
        <v>26</v>
      </c>
    </row>
    <row r="156" spans="1:22" ht="18.75" customHeight="1" x14ac:dyDescent="0.25">
      <c r="A156" s="2" t="s">
        <v>448</v>
      </c>
      <c r="B156" s="2" t="s">
        <v>449</v>
      </c>
      <c r="C156" s="2" t="s">
        <v>450</v>
      </c>
      <c r="D156" s="2" t="s">
        <v>31</v>
      </c>
      <c r="E156" s="3" t="s">
        <v>26</v>
      </c>
      <c r="F156" s="2" t="s">
        <v>451</v>
      </c>
      <c r="G156" s="4">
        <v>675</v>
      </c>
      <c r="H156" s="3"/>
      <c r="I156" s="4">
        <v>1</v>
      </c>
      <c r="J156" s="4">
        <v>675</v>
      </c>
      <c r="K156" s="4">
        <v>2500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3" t="s">
        <v>26</v>
      </c>
      <c r="U156" s="3" t="s">
        <v>27</v>
      </c>
      <c r="V156" s="3" t="s">
        <v>26</v>
      </c>
    </row>
    <row r="157" spans="1:22" ht="18.75" customHeight="1" x14ac:dyDescent="0.25">
      <c r="A157" s="2" t="s">
        <v>452</v>
      </c>
      <c r="B157" s="2" t="s">
        <v>453</v>
      </c>
      <c r="C157" s="2" t="s">
        <v>24</v>
      </c>
      <c r="D157" s="2" t="s">
        <v>45</v>
      </c>
      <c r="E157" s="3" t="s">
        <v>26</v>
      </c>
      <c r="F157" s="2" t="s">
        <v>454</v>
      </c>
      <c r="G157" s="4">
        <v>75</v>
      </c>
      <c r="H157" s="3"/>
      <c r="I157" s="4">
        <v>0</v>
      </c>
      <c r="J157" s="4">
        <v>30</v>
      </c>
      <c r="K157" s="4">
        <v>100</v>
      </c>
      <c r="L157" s="4"/>
      <c r="M157" s="4"/>
      <c r="N157" s="4"/>
      <c r="O157" s="4"/>
      <c r="P157" s="4"/>
      <c r="Q157" s="4"/>
      <c r="R157" s="4">
        <v>0</v>
      </c>
      <c r="S157" s="4"/>
      <c r="T157" s="3" t="s">
        <v>27</v>
      </c>
      <c r="U157" s="3" t="s">
        <v>27</v>
      </c>
      <c r="V157" s="3" t="s">
        <v>26</v>
      </c>
    </row>
    <row r="158" spans="1:22" ht="18.75" customHeight="1" x14ac:dyDescent="0.25">
      <c r="A158" s="2" t="s">
        <v>455</v>
      </c>
      <c r="B158" s="2" t="s">
        <v>456</v>
      </c>
      <c r="C158" s="2" t="s">
        <v>24</v>
      </c>
      <c r="D158" s="2" t="s">
        <v>45</v>
      </c>
      <c r="E158" s="3" t="s">
        <v>26</v>
      </c>
      <c r="F158" s="2" t="s">
        <v>454</v>
      </c>
      <c r="G158" s="4">
        <v>0</v>
      </c>
      <c r="H158" s="3"/>
      <c r="I158" s="4">
        <v>0</v>
      </c>
      <c r="J158" s="4">
        <v>0</v>
      </c>
      <c r="K158" s="4">
        <v>15000</v>
      </c>
      <c r="L158" s="4"/>
      <c r="M158" s="4"/>
      <c r="N158" s="4"/>
      <c r="O158" s="4"/>
      <c r="P158" s="4"/>
      <c r="Q158" s="4"/>
      <c r="R158" s="4"/>
      <c r="S158" s="4"/>
      <c r="T158" s="3" t="s">
        <v>27</v>
      </c>
      <c r="U158" s="3" t="s">
        <v>27</v>
      </c>
      <c r="V158" s="3" t="s">
        <v>26</v>
      </c>
    </row>
    <row r="159" spans="1:22" ht="18.75" customHeight="1" x14ac:dyDescent="0.25">
      <c r="A159" s="2" t="s">
        <v>457</v>
      </c>
      <c r="B159" s="2" t="s">
        <v>457</v>
      </c>
      <c r="C159" s="2" t="s">
        <v>458</v>
      </c>
      <c r="D159" s="2" t="s">
        <v>45</v>
      </c>
      <c r="E159" s="3" t="s">
        <v>26</v>
      </c>
      <c r="F159" s="2" t="s">
        <v>454</v>
      </c>
      <c r="G159" s="4">
        <v>9000</v>
      </c>
      <c r="H159" s="3"/>
      <c r="I159" s="4">
        <v>0</v>
      </c>
      <c r="J159" s="4">
        <v>9000</v>
      </c>
      <c r="K159" s="4">
        <v>11700</v>
      </c>
      <c r="L159" s="4"/>
      <c r="M159" s="4"/>
      <c r="N159" s="4"/>
      <c r="O159" s="4"/>
      <c r="P159" s="4"/>
      <c r="Q159" s="4"/>
      <c r="R159" s="4">
        <v>0</v>
      </c>
      <c r="S159" s="4"/>
      <c r="T159" s="3" t="s">
        <v>27</v>
      </c>
      <c r="U159" s="3" t="s">
        <v>27</v>
      </c>
      <c r="V159" s="3" t="s">
        <v>26</v>
      </c>
    </row>
    <row r="160" spans="1:22" ht="18.75" customHeight="1" x14ac:dyDescent="0.25">
      <c r="A160" s="2" t="s">
        <v>459</v>
      </c>
      <c r="B160" s="2" t="s">
        <v>459</v>
      </c>
      <c r="C160" s="2" t="s">
        <v>458</v>
      </c>
      <c r="D160" s="2" t="s">
        <v>45</v>
      </c>
      <c r="E160" s="3" t="s">
        <v>26</v>
      </c>
      <c r="F160" s="2" t="s">
        <v>454</v>
      </c>
      <c r="G160" s="4">
        <v>7500</v>
      </c>
      <c r="H160" s="3"/>
      <c r="I160" s="4">
        <v>0</v>
      </c>
      <c r="J160" s="4">
        <v>7500</v>
      </c>
      <c r="K160" s="4">
        <v>9750</v>
      </c>
      <c r="L160" s="4"/>
      <c r="M160" s="4"/>
      <c r="N160" s="4"/>
      <c r="O160" s="4"/>
      <c r="P160" s="4"/>
      <c r="Q160" s="4"/>
      <c r="R160" s="4">
        <v>0</v>
      </c>
      <c r="S160" s="4"/>
      <c r="T160" s="3" t="s">
        <v>27</v>
      </c>
      <c r="U160" s="3" t="s">
        <v>27</v>
      </c>
      <c r="V160" s="3" t="s">
        <v>26</v>
      </c>
    </row>
    <row r="161" spans="1:22" ht="18.75" customHeight="1" x14ac:dyDescent="0.25">
      <c r="A161" s="2" t="s">
        <v>460</v>
      </c>
      <c r="B161" s="2" t="s">
        <v>461</v>
      </c>
      <c r="C161" s="2" t="s">
        <v>24</v>
      </c>
      <c r="D161" s="2" t="s">
        <v>45</v>
      </c>
      <c r="E161" s="3" t="s">
        <v>26</v>
      </c>
      <c r="F161" s="2" t="s">
        <v>454</v>
      </c>
      <c r="G161" s="4">
        <v>55000</v>
      </c>
      <c r="H161" s="3"/>
      <c r="I161" s="4">
        <v>0</v>
      </c>
      <c r="J161" s="4">
        <v>55000</v>
      </c>
      <c r="K161" s="4">
        <v>71500</v>
      </c>
      <c r="L161" s="4"/>
      <c r="M161" s="4"/>
      <c r="N161" s="4"/>
      <c r="O161" s="4"/>
      <c r="P161" s="4"/>
      <c r="Q161" s="4"/>
      <c r="R161" s="4"/>
      <c r="S161" s="4"/>
      <c r="T161" s="3" t="s">
        <v>27</v>
      </c>
      <c r="U161" s="3" t="s">
        <v>27</v>
      </c>
      <c r="V161" s="3" t="s">
        <v>26</v>
      </c>
    </row>
    <row r="162" spans="1:22" ht="18.75" customHeight="1" x14ac:dyDescent="0.25">
      <c r="A162" s="2" t="s">
        <v>462</v>
      </c>
      <c r="B162" s="2" t="s">
        <v>463</v>
      </c>
      <c r="C162" s="2" t="s">
        <v>24</v>
      </c>
      <c r="D162" s="2" t="s">
        <v>45</v>
      </c>
      <c r="E162" s="3" t="s">
        <v>26</v>
      </c>
      <c r="F162" s="2" t="s">
        <v>454</v>
      </c>
      <c r="G162" s="4">
        <v>0</v>
      </c>
      <c r="H162" s="3"/>
      <c r="I162" s="4">
        <v>0</v>
      </c>
      <c r="J162" s="4">
        <v>0</v>
      </c>
      <c r="K162" s="4">
        <v>0</v>
      </c>
      <c r="L162" s="4"/>
      <c r="M162" s="4"/>
      <c r="N162" s="4"/>
      <c r="O162" s="4"/>
      <c r="P162" s="4"/>
      <c r="Q162" s="4"/>
      <c r="R162" s="4">
        <v>0</v>
      </c>
      <c r="S162" s="4"/>
      <c r="T162" s="3" t="s">
        <v>27</v>
      </c>
      <c r="U162" s="3" t="s">
        <v>27</v>
      </c>
      <c r="V162" s="3" t="s">
        <v>26</v>
      </c>
    </row>
    <row r="163" spans="1:22" ht="18.75" customHeight="1" x14ac:dyDescent="0.25">
      <c r="A163" s="2" t="s">
        <v>464</v>
      </c>
      <c r="B163" s="2" t="s">
        <v>465</v>
      </c>
      <c r="C163" s="2" t="s">
        <v>24</v>
      </c>
      <c r="D163" s="2" t="s">
        <v>45</v>
      </c>
      <c r="E163" s="3" t="s">
        <v>26</v>
      </c>
      <c r="F163" s="2" t="s">
        <v>454</v>
      </c>
      <c r="G163" s="4">
        <v>750</v>
      </c>
      <c r="H163" s="3"/>
      <c r="I163" s="4">
        <v>1</v>
      </c>
      <c r="J163" s="4">
        <v>750</v>
      </c>
      <c r="K163" s="4">
        <v>5000</v>
      </c>
      <c r="L163" s="4"/>
      <c r="M163" s="4"/>
      <c r="N163" s="4"/>
      <c r="O163" s="4"/>
      <c r="P163" s="4"/>
      <c r="Q163" s="4"/>
      <c r="R163" s="4">
        <v>0</v>
      </c>
      <c r="S163" s="4"/>
      <c r="T163" s="3" t="s">
        <v>27</v>
      </c>
      <c r="U163" s="3" t="s">
        <v>27</v>
      </c>
      <c r="V163" s="3" t="s">
        <v>26</v>
      </c>
    </row>
    <row r="164" spans="1:22" ht="18.75" customHeight="1" x14ac:dyDescent="0.25">
      <c r="A164" s="2" t="s">
        <v>466</v>
      </c>
      <c r="B164" s="2" t="s">
        <v>467</v>
      </c>
      <c r="C164" s="2" t="s">
        <v>468</v>
      </c>
      <c r="D164" s="2" t="s">
        <v>25</v>
      </c>
      <c r="E164" s="3" t="s">
        <v>26</v>
      </c>
      <c r="F164" s="2" t="s">
        <v>469</v>
      </c>
      <c r="G164" s="4">
        <v>4000</v>
      </c>
      <c r="H164" s="3"/>
      <c r="I164" s="4">
        <v>1</v>
      </c>
      <c r="J164" s="4">
        <v>4000</v>
      </c>
      <c r="K164" s="4">
        <v>10000</v>
      </c>
      <c r="L164" s="4"/>
      <c r="M164" s="4"/>
      <c r="N164" s="4"/>
      <c r="O164" s="4"/>
      <c r="P164" s="4"/>
      <c r="Q164" s="4"/>
      <c r="R164" s="4">
        <v>0</v>
      </c>
      <c r="S164" s="4"/>
      <c r="T164" s="3" t="s">
        <v>27</v>
      </c>
      <c r="U164" s="3" t="s">
        <v>27</v>
      </c>
      <c r="V164" s="3" t="s">
        <v>26</v>
      </c>
    </row>
    <row r="165" spans="1:22" ht="18.75" customHeight="1" x14ac:dyDescent="0.25">
      <c r="A165" s="2" t="s">
        <v>470</v>
      </c>
      <c r="B165" s="2" t="s">
        <v>471</v>
      </c>
      <c r="C165" s="2" t="s">
        <v>24</v>
      </c>
      <c r="D165" s="2" t="s">
        <v>45</v>
      </c>
      <c r="E165" s="3" t="s">
        <v>26</v>
      </c>
      <c r="F165" s="2" t="s">
        <v>472</v>
      </c>
      <c r="G165" s="4">
        <v>0</v>
      </c>
      <c r="H165" s="3"/>
      <c r="I165" s="4">
        <v>1</v>
      </c>
      <c r="J165" s="4">
        <v>0</v>
      </c>
      <c r="K165" s="4">
        <v>25000</v>
      </c>
      <c r="L165" s="4"/>
      <c r="M165" s="4"/>
      <c r="N165" s="4"/>
      <c r="O165" s="4"/>
      <c r="P165" s="4"/>
      <c r="Q165" s="4"/>
      <c r="R165" s="4">
        <v>0</v>
      </c>
      <c r="S165" s="4"/>
      <c r="T165" s="3" t="s">
        <v>27</v>
      </c>
      <c r="U165" s="3" t="s">
        <v>27</v>
      </c>
      <c r="V165" s="3" t="s">
        <v>26</v>
      </c>
    </row>
    <row r="166" spans="1:22" ht="18.75" customHeight="1" x14ac:dyDescent="0.25">
      <c r="A166" s="2" t="s">
        <v>473</v>
      </c>
      <c r="B166" s="2" t="s">
        <v>474</v>
      </c>
      <c r="C166" s="2" t="s">
        <v>339</v>
      </c>
      <c r="D166" s="2" t="s">
        <v>31</v>
      </c>
      <c r="E166" s="3" t="s">
        <v>26</v>
      </c>
      <c r="F166" s="2" t="s">
        <v>475</v>
      </c>
      <c r="G166" s="4">
        <v>7200</v>
      </c>
      <c r="H166" s="3"/>
      <c r="I166" s="4">
        <v>1</v>
      </c>
      <c r="J166" s="4">
        <v>7200</v>
      </c>
      <c r="K166" s="4">
        <v>15000</v>
      </c>
      <c r="L166" s="4"/>
      <c r="M166" s="4"/>
      <c r="N166" s="4"/>
      <c r="O166" s="4"/>
      <c r="P166" s="4"/>
      <c r="Q166" s="4"/>
      <c r="R166" s="4">
        <v>0</v>
      </c>
      <c r="S166" s="4"/>
      <c r="T166" s="3" t="s">
        <v>26</v>
      </c>
      <c r="U166" s="3" t="s">
        <v>27</v>
      </c>
      <c r="V166" s="3" t="s">
        <v>26</v>
      </c>
    </row>
    <row r="167" spans="1:22" ht="18.75" customHeight="1" x14ac:dyDescent="0.25">
      <c r="A167" s="2" t="s">
        <v>476</v>
      </c>
      <c r="B167" s="2" t="s">
        <v>477</v>
      </c>
      <c r="C167" s="2" t="s">
        <v>478</v>
      </c>
      <c r="D167" s="2" t="s">
        <v>31</v>
      </c>
      <c r="E167" s="3" t="s">
        <v>26</v>
      </c>
      <c r="F167" s="2" t="s">
        <v>479</v>
      </c>
      <c r="G167" s="4">
        <v>17821</v>
      </c>
      <c r="H167" s="3"/>
      <c r="I167" s="4">
        <v>0</v>
      </c>
      <c r="J167" s="4">
        <v>17821</v>
      </c>
      <c r="K167" s="4">
        <v>25000</v>
      </c>
      <c r="L167" s="4"/>
      <c r="M167" s="4"/>
      <c r="N167" s="4"/>
      <c r="O167" s="4"/>
      <c r="P167" s="4"/>
      <c r="Q167" s="4"/>
      <c r="R167" s="4"/>
      <c r="S167" s="4"/>
      <c r="T167" s="3" t="s">
        <v>26</v>
      </c>
      <c r="U167" s="3" t="s">
        <v>27</v>
      </c>
      <c r="V167" s="3" t="s">
        <v>26</v>
      </c>
    </row>
    <row r="168" spans="1:22" ht="18.75" customHeight="1" x14ac:dyDescent="0.25">
      <c r="A168" s="2" t="s">
        <v>480</v>
      </c>
      <c r="B168" s="2" t="s">
        <v>481</v>
      </c>
      <c r="C168" s="2" t="s">
        <v>482</v>
      </c>
      <c r="D168" s="2" t="s">
        <v>45</v>
      </c>
      <c r="E168" s="3" t="s">
        <v>26</v>
      </c>
      <c r="F168" s="2" t="s">
        <v>483</v>
      </c>
      <c r="G168" s="4">
        <v>7500</v>
      </c>
      <c r="H168" s="3"/>
      <c r="I168" s="4">
        <v>1</v>
      </c>
      <c r="J168" s="4">
        <v>7500</v>
      </c>
      <c r="K168" s="4">
        <v>9750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3" t="s">
        <v>27</v>
      </c>
      <c r="U168" s="3" t="s">
        <v>27</v>
      </c>
      <c r="V168" s="3" t="s">
        <v>26</v>
      </c>
    </row>
    <row r="169" spans="1:22" ht="18.75" customHeight="1" x14ac:dyDescent="0.25">
      <c r="A169" s="2" t="s">
        <v>484</v>
      </c>
      <c r="B169" s="2" t="s">
        <v>485</v>
      </c>
      <c r="C169" s="2" t="s">
        <v>486</v>
      </c>
      <c r="D169" s="2" t="s">
        <v>31</v>
      </c>
      <c r="E169" s="3" t="s">
        <v>26</v>
      </c>
      <c r="F169" s="2" t="s">
        <v>483</v>
      </c>
      <c r="G169" s="4">
        <v>6500</v>
      </c>
      <c r="H169" s="3"/>
      <c r="I169" s="4">
        <v>1</v>
      </c>
      <c r="J169" s="4">
        <v>6400</v>
      </c>
      <c r="K169" s="4">
        <v>15000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3" t="s">
        <v>26</v>
      </c>
      <c r="U169" s="3" t="s">
        <v>27</v>
      </c>
      <c r="V169" s="3" t="s">
        <v>26</v>
      </c>
    </row>
    <row r="170" spans="1:22" ht="18.75" customHeight="1" x14ac:dyDescent="0.25">
      <c r="A170" s="2" t="s">
        <v>487</v>
      </c>
      <c r="B170" s="2" t="s">
        <v>488</v>
      </c>
      <c r="C170" s="2" t="s">
        <v>489</v>
      </c>
      <c r="D170" s="2" t="s">
        <v>31</v>
      </c>
      <c r="E170" s="3" t="s">
        <v>26</v>
      </c>
      <c r="F170" s="2" t="s">
        <v>483</v>
      </c>
      <c r="G170" s="4">
        <v>2327</v>
      </c>
      <c r="H170" s="3"/>
      <c r="I170" s="4">
        <v>1</v>
      </c>
      <c r="J170" s="4">
        <v>2519</v>
      </c>
      <c r="K170" s="4">
        <v>5000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3" t="s">
        <v>27</v>
      </c>
      <c r="U170" s="3" t="s">
        <v>27</v>
      </c>
      <c r="V170" s="3" t="s">
        <v>26</v>
      </c>
    </row>
    <row r="171" spans="1:22" ht="18.75" customHeight="1" x14ac:dyDescent="0.25">
      <c r="A171" s="2" t="s">
        <v>490</v>
      </c>
      <c r="B171" s="2" t="s">
        <v>491</v>
      </c>
      <c r="C171" s="2" t="s">
        <v>492</v>
      </c>
      <c r="D171" s="2" t="s">
        <v>31</v>
      </c>
      <c r="E171" s="3" t="s">
        <v>26</v>
      </c>
      <c r="F171" s="2" t="s">
        <v>483</v>
      </c>
      <c r="G171" s="4">
        <v>16500</v>
      </c>
      <c r="H171" s="3"/>
      <c r="I171" s="4">
        <v>1</v>
      </c>
      <c r="J171" s="4">
        <v>16500</v>
      </c>
      <c r="K171" s="4">
        <v>25000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3" t="s">
        <v>26</v>
      </c>
      <c r="U171" s="3" t="s">
        <v>27</v>
      </c>
      <c r="V171" s="3" t="s">
        <v>26</v>
      </c>
    </row>
    <row r="172" spans="1:22" ht="18.75" customHeight="1" x14ac:dyDescent="0.25">
      <c r="A172" s="2" t="s">
        <v>493</v>
      </c>
      <c r="B172" s="2" t="s">
        <v>494</v>
      </c>
      <c r="C172" s="2" t="s">
        <v>495</v>
      </c>
      <c r="D172" s="2" t="s">
        <v>31</v>
      </c>
      <c r="E172" s="3" t="s">
        <v>26</v>
      </c>
      <c r="F172" s="2" t="s">
        <v>483</v>
      </c>
      <c r="G172" s="4">
        <v>26000</v>
      </c>
      <c r="H172" s="3"/>
      <c r="I172" s="4">
        <v>1</v>
      </c>
      <c r="J172" s="4">
        <v>26000</v>
      </c>
      <c r="K172" s="4">
        <v>33800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3" t="s">
        <v>27</v>
      </c>
      <c r="U172" s="3" t="s">
        <v>27</v>
      </c>
      <c r="V172" s="3" t="s">
        <v>26</v>
      </c>
    </row>
    <row r="173" spans="1:22" ht="18.75" customHeight="1" x14ac:dyDescent="0.25">
      <c r="A173" s="2" t="s">
        <v>496</v>
      </c>
      <c r="B173" s="2" t="s">
        <v>497</v>
      </c>
      <c r="C173" s="2" t="s">
        <v>498</v>
      </c>
      <c r="D173" s="2" t="s">
        <v>45</v>
      </c>
      <c r="E173" s="3" t="s">
        <v>26</v>
      </c>
      <c r="F173" s="2" t="s">
        <v>483</v>
      </c>
      <c r="G173" s="4">
        <v>11200</v>
      </c>
      <c r="H173" s="3"/>
      <c r="I173" s="4">
        <v>0</v>
      </c>
      <c r="J173" s="4">
        <v>11200</v>
      </c>
      <c r="K173" s="4">
        <v>20000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3" t="s">
        <v>26</v>
      </c>
      <c r="U173" s="3" t="s">
        <v>27</v>
      </c>
      <c r="V173" s="3" t="s">
        <v>26</v>
      </c>
    </row>
    <row r="174" spans="1:22" ht="18.75" customHeight="1" x14ac:dyDescent="0.25">
      <c r="A174" s="2" t="s">
        <v>499</v>
      </c>
      <c r="B174" s="2" t="s">
        <v>500</v>
      </c>
      <c r="C174" s="2" t="s">
        <v>498</v>
      </c>
      <c r="D174" s="2" t="s">
        <v>31</v>
      </c>
      <c r="E174" s="3" t="s">
        <v>26</v>
      </c>
      <c r="F174" s="2" t="s">
        <v>483</v>
      </c>
      <c r="G174" s="4">
        <v>12651</v>
      </c>
      <c r="H174" s="3"/>
      <c r="I174" s="4">
        <v>0</v>
      </c>
      <c r="J174" s="4">
        <v>12651</v>
      </c>
      <c r="K174" s="4">
        <v>20000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3" t="s">
        <v>26</v>
      </c>
      <c r="U174" s="3" t="s">
        <v>27</v>
      </c>
      <c r="V174" s="3" t="s">
        <v>26</v>
      </c>
    </row>
    <row r="175" spans="1:22" ht="18.75" customHeight="1" x14ac:dyDescent="0.25">
      <c r="A175" s="2" t="s">
        <v>501</v>
      </c>
      <c r="B175" s="2" t="s">
        <v>502</v>
      </c>
      <c r="C175" s="2" t="s">
        <v>498</v>
      </c>
      <c r="D175" s="2" t="s">
        <v>45</v>
      </c>
      <c r="E175" s="3" t="s">
        <v>26</v>
      </c>
      <c r="F175" s="2" t="s">
        <v>483</v>
      </c>
      <c r="G175" s="4">
        <v>11300</v>
      </c>
      <c r="H175" s="3"/>
      <c r="I175" s="4">
        <v>0</v>
      </c>
      <c r="J175" s="4">
        <v>11300</v>
      </c>
      <c r="K175" s="4">
        <v>20000</v>
      </c>
      <c r="L175" s="4">
        <v>-1</v>
      </c>
      <c r="M175" s="4">
        <v>0</v>
      </c>
      <c r="N175" s="4">
        <v>-3</v>
      </c>
      <c r="O175" s="4">
        <v>0</v>
      </c>
      <c r="P175" s="4">
        <v>0</v>
      </c>
      <c r="Q175" s="4">
        <v>0</v>
      </c>
      <c r="R175" s="4">
        <v>-4</v>
      </c>
      <c r="S175" s="4">
        <v>0</v>
      </c>
      <c r="T175" s="3" t="s">
        <v>26</v>
      </c>
      <c r="U175" s="3" t="s">
        <v>27</v>
      </c>
      <c r="V175" s="3" t="s">
        <v>26</v>
      </c>
    </row>
    <row r="176" spans="1:22" ht="18.75" customHeight="1" x14ac:dyDescent="0.25">
      <c r="A176" s="2" t="s">
        <v>503</v>
      </c>
      <c r="B176" s="2" t="s">
        <v>504</v>
      </c>
      <c r="C176" s="2" t="s">
        <v>505</v>
      </c>
      <c r="D176" s="2" t="s">
        <v>25</v>
      </c>
      <c r="E176" s="3" t="s">
        <v>26</v>
      </c>
      <c r="F176" s="2" t="s">
        <v>483</v>
      </c>
      <c r="G176" s="4">
        <v>4600</v>
      </c>
      <c r="H176" s="3"/>
      <c r="I176" s="4">
        <v>1</v>
      </c>
      <c r="J176" s="4">
        <v>4600</v>
      </c>
      <c r="K176" s="4">
        <v>15000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3" t="s">
        <v>26</v>
      </c>
      <c r="U176" s="3" t="s">
        <v>27</v>
      </c>
      <c r="V176" s="3" t="s">
        <v>26</v>
      </c>
    </row>
    <row r="177" spans="1:22" ht="18.75" customHeight="1" x14ac:dyDescent="0.25">
      <c r="A177" s="2" t="s">
        <v>506</v>
      </c>
      <c r="B177" s="2" t="s">
        <v>507</v>
      </c>
      <c r="C177" s="2" t="s">
        <v>505</v>
      </c>
      <c r="D177" s="2" t="s">
        <v>508</v>
      </c>
      <c r="E177" s="3" t="s">
        <v>26</v>
      </c>
      <c r="F177" s="2" t="s">
        <v>483</v>
      </c>
      <c r="G177" s="4">
        <v>3000</v>
      </c>
      <c r="H177" s="3"/>
      <c r="I177" s="4">
        <v>1</v>
      </c>
      <c r="J177" s="4">
        <v>3000</v>
      </c>
      <c r="K177" s="4">
        <v>5000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3" t="s">
        <v>27</v>
      </c>
      <c r="U177" s="3" t="s">
        <v>27</v>
      </c>
      <c r="V177" s="3" t="s">
        <v>26</v>
      </c>
    </row>
    <row r="178" spans="1:22" ht="18.75" customHeight="1" x14ac:dyDescent="0.25">
      <c r="A178" s="2" t="s">
        <v>509</v>
      </c>
      <c r="B178" s="2" t="s">
        <v>510</v>
      </c>
      <c r="C178" s="2" t="s">
        <v>209</v>
      </c>
      <c r="D178" s="2" t="s">
        <v>31</v>
      </c>
      <c r="E178" s="3" t="s">
        <v>26</v>
      </c>
      <c r="F178" s="2" t="s">
        <v>483</v>
      </c>
      <c r="G178" s="4">
        <v>10000</v>
      </c>
      <c r="H178" s="3"/>
      <c r="I178" s="4">
        <v>1</v>
      </c>
      <c r="J178" s="4">
        <v>10000</v>
      </c>
      <c r="K178" s="4">
        <v>15000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3" t="s">
        <v>27</v>
      </c>
      <c r="U178" s="3" t="s">
        <v>27</v>
      </c>
      <c r="V178" s="3" t="s">
        <v>26</v>
      </c>
    </row>
    <row r="179" spans="1:22" ht="18.75" customHeight="1" x14ac:dyDescent="0.25">
      <c r="A179" s="2" t="s">
        <v>511</v>
      </c>
      <c r="B179" s="2" t="s">
        <v>511</v>
      </c>
      <c r="C179" s="2" t="s">
        <v>24</v>
      </c>
      <c r="D179" s="2" t="s">
        <v>45</v>
      </c>
      <c r="E179" s="3" t="s">
        <v>26</v>
      </c>
      <c r="F179" s="2" t="s">
        <v>483</v>
      </c>
      <c r="G179" s="4">
        <v>6000</v>
      </c>
      <c r="H179" s="3"/>
      <c r="I179" s="4">
        <v>0</v>
      </c>
      <c r="J179" s="4">
        <v>6000</v>
      </c>
      <c r="K179" s="4">
        <v>25000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3" t="s">
        <v>26</v>
      </c>
      <c r="U179" s="3" t="s">
        <v>27</v>
      </c>
      <c r="V179" s="3" t="s">
        <v>26</v>
      </c>
    </row>
    <row r="180" spans="1:22" ht="18.75" customHeight="1" x14ac:dyDescent="0.25">
      <c r="A180" s="2" t="s">
        <v>512</v>
      </c>
      <c r="B180" s="2" t="s">
        <v>513</v>
      </c>
      <c r="C180" s="2" t="s">
        <v>24</v>
      </c>
      <c r="D180" s="2" t="s">
        <v>25</v>
      </c>
      <c r="E180" s="3" t="s">
        <v>26</v>
      </c>
      <c r="F180" s="2" t="s">
        <v>483</v>
      </c>
      <c r="G180" s="4">
        <v>7500</v>
      </c>
      <c r="H180" s="3"/>
      <c r="I180" s="4">
        <v>1</v>
      </c>
      <c r="J180" s="4">
        <v>7500</v>
      </c>
      <c r="K180" s="4">
        <v>10000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3" t="s">
        <v>27</v>
      </c>
      <c r="U180" s="3" t="s">
        <v>27</v>
      </c>
      <c r="V180" s="3" t="s">
        <v>26</v>
      </c>
    </row>
    <row r="181" spans="1:22" ht="18.75" customHeight="1" x14ac:dyDescent="0.25">
      <c r="A181" s="2" t="s">
        <v>514</v>
      </c>
      <c r="B181" s="2" t="s">
        <v>515</v>
      </c>
      <c r="C181" s="2" t="s">
        <v>516</v>
      </c>
      <c r="D181" s="2" t="s">
        <v>31</v>
      </c>
      <c r="E181" s="3" t="s">
        <v>26</v>
      </c>
      <c r="F181" s="2" t="s">
        <v>483</v>
      </c>
      <c r="G181" s="4">
        <v>9420</v>
      </c>
      <c r="H181" s="3"/>
      <c r="I181" s="4">
        <v>1</v>
      </c>
      <c r="J181" s="4">
        <v>9420</v>
      </c>
      <c r="K181" s="4">
        <v>15000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3" t="s">
        <v>27</v>
      </c>
      <c r="U181" s="3" t="s">
        <v>27</v>
      </c>
      <c r="V181" s="3" t="s">
        <v>26</v>
      </c>
    </row>
    <row r="182" spans="1:22" ht="18.75" customHeight="1" x14ac:dyDescent="0.25">
      <c r="A182" s="2" t="s">
        <v>517</v>
      </c>
      <c r="B182" s="2" t="s">
        <v>518</v>
      </c>
      <c r="C182" s="2" t="s">
        <v>519</v>
      </c>
      <c r="D182" s="2" t="s">
        <v>31</v>
      </c>
      <c r="E182" s="3" t="s">
        <v>26</v>
      </c>
      <c r="F182" s="2" t="s">
        <v>483</v>
      </c>
      <c r="G182" s="4">
        <v>7800</v>
      </c>
      <c r="H182" s="3"/>
      <c r="I182" s="4">
        <v>1</v>
      </c>
      <c r="J182" s="4">
        <v>7800</v>
      </c>
      <c r="K182" s="4">
        <v>13000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3" t="s">
        <v>27</v>
      </c>
      <c r="U182" s="3" t="s">
        <v>27</v>
      </c>
      <c r="V182" s="3" t="s">
        <v>26</v>
      </c>
    </row>
    <row r="183" spans="1:22" ht="18.75" customHeight="1" x14ac:dyDescent="0.25">
      <c r="A183" s="2" t="s">
        <v>520</v>
      </c>
      <c r="B183" s="2" t="s">
        <v>521</v>
      </c>
      <c r="C183" s="2" t="s">
        <v>522</v>
      </c>
      <c r="D183" s="2" t="s">
        <v>31</v>
      </c>
      <c r="E183" s="3" t="s">
        <v>26</v>
      </c>
      <c r="F183" s="2" t="s">
        <v>483</v>
      </c>
      <c r="G183" s="4">
        <v>9300</v>
      </c>
      <c r="H183" s="3"/>
      <c r="I183" s="4">
        <v>1</v>
      </c>
      <c r="J183" s="4">
        <v>9300</v>
      </c>
      <c r="K183" s="4">
        <v>13000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3" t="s">
        <v>27</v>
      </c>
      <c r="U183" s="3" t="s">
        <v>27</v>
      </c>
      <c r="V183" s="3" t="s">
        <v>26</v>
      </c>
    </row>
    <row r="184" spans="1:22" ht="18.75" customHeight="1" x14ac:dyDescent="0.25">
      <c r="A184" s="2" t="s">
        <v>523</v>
      </c>
      <c r="B184" s="2" t="s">
        <v>524</v>
      </c>
      <c r="C184" s="2" t="s">
        <v>525</v>
      </c>
      <c r="D184" s="2" t="s">
        <v>31</v>
      </c>
      <c r="E184" s="3" t="s">
        <v>26</v>
      </c>
      <c r="F184" s="2" t="s">
        <v>483</v>
      </c>
      <c r="G184" s="4">
        <v>40000</v>
      </c>
      <c r="H184" s="3"/>
      <c r="I184" s="4">
        <v>0</v>
      </c>
      <c r="J184" s="4">
        <v>45628</v>
      </c>
      <c r="K184" s="4">
        <v>50000</v>
      </c>
      <c r="L184" s="4"/>
      <c r="M184" s="4"/>
      <c r="N184" s="4"/>
      <c r="O184" s="4"/>
      <c r="P184" s="4"/>
      <c r="Q184" s="4"/>
      <c r="R184" s="4"/>
      <c r="S184" s="4"/>
      <c r="T184" s="3" t="s">
        <v>26</v>
      </c>
      <c r="U184" s="3" t="s">
        <v>27</v>
      </c>
      <c r="V184" s="3" t="s">
        <v>26</v>
      </c>
    </row>
    <row r="185" spans="1:22" ht="18.75" customHeight="1" x14ac:dyDescent="0.25">
      <c r="A185" s="2" t="s">
        <v>526</v>
      </c>
      <c r="B185" s="2" t="s">
        <v>527</v>
      </c>
      <c r="C185" s="2" t="s">
        <v>528</v>
      </c>
      <c r="D185" s="2" t="s">
        <v>25</v>
      </c>
      <c r="E185" s="3" t="s">
        <v>26</v>
      </c>
      <c r="F185" s="2" t="s">
        <v>483</v>
      </c>
      <c r="G185" s="4">
        <v>65000</v>
      </c>
      <c r="H185" s="3"/>
      <c r="I185" s="4">
        <v>0</v>
      </c>
      <c r="J185" s="4">
        <v>65000</v>
      </c>
      <c r="K185" s="4">
        <v>84500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3" t="s">
        <v>26</v>
      </c>
      <c r="U185" s="3" t="s">
        <v>27</v>
      </c>
      <c r="V185" s="3" t="s">
        <v>26</v>
      </c>
    </row>
    <row r="186" spans="1:22" ht="18.75" customHeight="1" x14ac:dyDescent="0.25">
      <c r="A186" s="2" t="s">
        <v>529</v>
      </c>
      <c r="B186" s="2" t="s">
        <v>530</v>
      </c>
      <c r="C186" s="2" t="s">
        <v>531</v>
      </c>
      <c r="D186" s="2" t="s">
        <v>45</v>
      </c>
      <c r="E186" s="3" t="s">
        <v>26</v>
      </c>
      <c r="F186" s="2" t="s">
        <v>532</v>
      </c>
      <c r="G186" s="4">
        <v>42000</v>
      </c>
      <c r="H186" s="3"/>
      <c r="I186" s="4">
        <v>1</v>
      </c>
      <c r="J186" s="4">
        <v>42000</v>
      </c>
      <c r="K186" s="4">
        <v>65000</v>
      </c>
      <c r="L186" s="4"/>
      <c r="M186" s="4"/>
      <c r="N186" s="4"/>
      <c r="O186" s="4"/>
      <c r="P186" s="4"/>
      <c r="Q186" s="4"/>
      <c r="R186" s="4">
        <v>0</v>
      </c>
      <c r="S186" s="4"/>
      <c r="T186" s="3" t="s">
        <v>27</v>
      </c>
      <c r="U186" s="3" t="s">
        <v>27</v>
      </c>
      <c r="V186" s="3" t="s">
        <v>26</v>
      </c>
    </row>
    <row r="187" spans="1:22" ht="18.75" customHeight="1" x14ac:dyDescent="0.25">
      <c r="A187" s="2" t="s">
        <v>533</v>
      </c>
      <c r="B187" s="2" t="s">
        <v>534</v>
      </c>
      <c r="C187" s="2" t="s">
        <v>535</v>
      </c>
      <c r="D187" s="2" t="s">
        <v>45</v>
      </c>
      <c r="E187" s="3" t="s">
        <v>26</v>
      </c>
      <c r="F187" s="2" t="s">
        <v>532</v>
      </c>
      <c r="G187" s="4">
        <v>20000</v>
      </c>
      <c r="H187" s="3"/>
      <c r="I187" s="4">
        <v>1</v>
      </c>
      <c r="J187" s="4">
        <v>20000</v>
      </c>
      <c r="K187" s="4">
        <v>25000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3" t="s">
        <v>27</v>
      </c>
      <c r="U187" s="3" t="s">
        <v>27</v>
      </c>
      <c r="V187" s="3" t="s">
        <v>26</v>
      </c>
    </row>
    <row r="188" spans="1:22" ht="18.75" customHeight="1" x14ac:dyDescent="0.25">
      <c r="A188" s="2" t="s">
        <v>536</v>
      </c>
      <c r="B188" s="2" t="s">
        <v>537</v>
      </c>
      <c r="C188" s="2" t="s">
        <v>537</v>
      </c>
      <c r="D188" s="2" t="s">
        <v>31</v>
      </c>
      <c r="E188" s="3" t="s">
        <v>26</v>
      </c>
      <c r="F188" s="2" t="s">
        <v>532</v>
      </c>
      <c r="G188" s="4">
        <v>8800</v>
      </c>
      <c r="H188" s="3"/>
      <c r="I188" s="4">
        <v>0</v>
      </c>
      <c r="J188" s="4">
        <v>8800</v>
      </c>
      <c r="K188" s="4">
        <v>35000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3" t="s">
        <v>27</v>
      </c>
      <c r="U188" s="3" t="s">
        <v>27</v>
      </c>
      <c r="V188" s="3" t="s">
        <v>26</v>
      </c>
    </row>
    <row r="189" spans="1:22" ht="18.75" customHeight="1" x14ac:dyDescent="0.25">
      <c r="A189" s="2" t="s">
        <v>538</v>
      </c>
      <c r="B189" s="2" t="s">
        <v>539</v>
      </c>
      <c r="C189" s="2" t="s">
        <v>540</v>
      </c>
      <c r="D189" s="2" t="s">
        <v>31</v>
      </c>
      <c r="E189" s="3" t="s">
        <v>26</v>
      </c>
      <c r="F189" s="2" t="s">
        <v>532</v>
      </c>
      <c r="G189" s="4">
        <v>7650</v>
      </c>
      <c r="H189" s="3"/>
      <c r="I189" s="4">
        <v>1</v>
      </c>
      <c r="J189" s="4">
        <v>7650</v>
      </c>
      <c r="K189" s="4">
        <v>35000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3" t="s">
        <v>26</v>
      </c>
      <c r="U189" s="3" t="s">
        <v>27</v>
      </c>
      <c r="V189" s="3" t="s">
        <v>26</v>
      </c>
    </row>
    <row r="190" spans="1:22" ht="12.75" customHeight="1" x14ac:dyDescent="0.25">
      <c r="A190" s="5">
        <v>210</v>
      </c>
      <c r="B190" s="6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</sheetData>
  <mergeCells count="1">
    <mergeCell ref="C190:V1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4"/>
  <sheetViews>
    <sheetView topLeftCell="M1" workbookViewId="0">
      <pane ySplit="4" topLeftCell="A146" activePane="bottomLeft" state="frozen"/>
      <selection pane="bottomLeft" activeCell="Q158" sqref="Q158"/>
    </sheetView>
  </sheetViews>
  <sheetFormatPr defaultRowHeight="15" x14ac:dyDescent="0.25"/>
  <cols>
    <col min="1" max="1" width="7" style="35" customWidth="1"/>
    <col min="2" max="2" width="20" customWidth="1"/>
    <col min="3" max="3" width="37" customWidth="1"/>
    <col min="4" max="4" width="43" customWidth="1"/>
    <col min="5" max="5" width="20" customWidth="1"/>
    <col min="6" max="6" width="13" customWidth="1"/>
    <col min="7" max="9" width="23" customWidth="1"/>
    <col min="10" max="10" width="19" customWidth="1"/>
    <col min="11" max="11" width="24" customWidth="1"/>
    <col min="12" max="12" width="20" customWidth="1"/>
    <col min="13" max="13" width="21" customWidth="1"/>
    <col min="14" max="14" width="73" customWidth="1"/>
    <col min="15" max="17" width="21" customWidth="1"/>
    <col min="18" max="18" width="20" customWidth="1"/>
    <col min="19" max="19" width="45" customWidth="1"/>
    <col min="20" max="20" width="16" customWidth="1"/>
    <col min="21" max="21" width="23" customWidth="1"/>
    <col min="22" max="22" width="13" customWidth="1"/>
    <col min="23" max="23" width="18" customWidth="1"/>
    <col min="24" max="24" width="29" customWidth="1"/>
    <col min="25" max="26" width="65" customWidth="1"/>
    <col min="27" max="28" width="20" customWidth="1"/>
    <col min="29" max="29" width="27" customWidth="1"/>
    <col min="30" max="30" width="42" customWidth="1"/>
    <col min="31" max="31" width="21" customWidth="1"/>
  </cols>
  <sheetData>
    <row r="1" spans="1:31" ht="38.1" customHeight="1" x14ac:dyDescent="0.25">
      <c r="A1" s="50" t="s">
        <v>541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31" ht="26.1" customHeight="1" x14ac:dyDescent="0.25">
      <c r="A2" s="51" t="s">
        <v>542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31" ht="24.95" customHeight="1" x14ac:dyDescent="0.25">
      <c r="A3" s="52" t="s">
        <v>543</v>
      </c>
      <c r="B3" s="52"/>
      <c r="C3" s="52"/>
      <c r="D3" s="52"/>
      <c r="E3" s="52"/>
      <c r="F3" s="52"/>
      <c r="G3" s="53" t="s">
        <v>544</v>
      </c>
      <c r="H3" s="53"/>
      <c r="I3" s="53"/>
      <c r="J3" s="53"/>
      <c r="K3" s="53"/>
      <c r="L3" s="53"/>
      <c r="M3" s="53"/>
      <c r="N3" s="53"/>
      <c r="O3" s="54" t="s">
        <v>545</v>
      </c>
      <c r="P3" s="54"/>
      <c r="Q3" s="54"/>
      <c r="R3" s="54"/>
      <c r="S3" s="54"/>
      <c r="T3" s="48" t="s">
        <v>546</v>
      </c>
      <c r="U3" s="48"/>
      <c r="V3" s="48"/>
      <c r="W3" s="48"/>
      <c r="X3" s="48"/>
      <c r="Y3" s="48"/>
      <c r="Z3" s="48"/>
      <c r="AA3" s="49" t="s">
        <v>547</v>
      </c>
      <c r="AB3" s="49"/>
      <c r="AC3" s="49"/>
      <c r="AD3" s="49"/>
      <c r="AE3" s="49"/>
    </row>
    <row r="4" spans="1:31" ht="36.950000000000003" customHeight="1" x14ac:dyDescent="0.25">
      <c r="A4" s="46" t="s">
        <v>548</v>
      </c>
      <c r="B4" s="7" t="s">
        <v>549</v>
      </c>
      <c r="C4" s="7" t="s">
        <v>550</v>
      </c>
      <c r="D4" s="7" t="s">
        <v>551</v>
      </c>
      <c r="E4" s="7" t="s">
        <v>552</v>
      </c>
      <c r="F4" s="7" t="s">
        <v>553</v>
      </c>
      <c r="G4" s="7" t="s">
        <v>554</v>
      </c>
      <c r="H4" s="7" t="s">
        <v>555</v>
      </c>
      <c r="I4" s="7" t="s">
        <v>556</v>
      </c>
      <c r="J4" s="7" t="s">
        <v>557</v>
      </c>
      <c r="K4" s="7" t="s">
        <v>558</v>
      </c>
      <c r="L4" s="7" t="s">
        <v>559</v>
      </c>
      <c r="M4" s="7" t="s">
        <v>560</v>
      </c>
      <c r="N4" s="7" t="s">
        <v>561</v>
      </c>
      <c r="O4" s="7" t="s">
        <v>562</v>
      </c>
      <c r="P4" s="7" t="s">
        <v>563</v>
      </c>
      <c r="Q4" s="7" t="s">
        <v>564</v>
      </c>
      <c r="R4" s="7" t="s">
        <v>565</v>
      </c>
      <c r="S4" s="7" t="s">
        <v>566</v>
      </c>
      <c r="T4" s="8" t="s">
        <v>567</v>
      </c>
      <c r="U4" s="8" t="s">
        <v>568</v>
      </c>
      <c r="V4" s="8" t="s">
        <v>569</v>
      </c>
      <c r="W4" s="8" t="s">
        <v>570</v>
      </c>
      <c r="X4" s="8" t="s">
        <v>571</v>
      </c>
      <c r="Y4" s="8" t="s">
        <v>572</v>
      </c>
      <c r="Z4" s="8" t="s">
        <v>573</v>
      </c>
      <c r="AA4" s="8" t="s">
        <v>574</v>
      </c>
      <c r="AB4" s="8" t="s">
        <v>575</v>
      </c>
      <c r="AC4" s="8" t="s">
        <v>576</v>
      </c>
      <c r="AD4" s="8" t="s">
        <v>577</v>
      </c>
      <c r="AE4" s="8" t="s">
        <v>578</v>
      </c>
    </row>
    <row r="5" spans="1:31" ht="24.95" customHeight="1" x14ac:dyDescent="0.25">
      <c r="A5" s="39">
        <v>1</v>
      </c>
      <c r="B5" s="38" t="s">
        <v>22</v>
      </c>
      <c r="C5" s="38" t="s">
        <v>23</v>
      </c>
      <c r="D5" s="38" t="s">
        <v>24</v>
      </c>
      <c r="E5" s="38" t="s">
        <v>24</v>
      </c>
      <c r="F5" s="39">
        <v>1</v>
      </c>
      <c r="G5" s="40" t="s">
        <v>579</v>
      </c>
      <c r="H5" s="40" t="s">
        <v>579</v>
      </c>
      <c r="I5" s="40" t="s">
        <v>579</v>
      </c>
      <c r="J5" s="41"/>
      <c r="K5" s="40" t="s">
        <v>580</v>
      </c>
      <c r="L5" s="40" t="s">
        <v>581</v>
      </c>
      <c r="M5" s="40" t="s">
        <v>582</v>
      </c>
      <c r="N5" s="42" t="s">
        <v>583</v>
      </c>
      <c r="O5" s="43" t="s">
        <v>771</v>
      </c>
      <c r="P5" s="43" t="s">
        <v>893</v>
      </c>
      <c r="Q5" s="43"/>
      <c r="R5" s="44"/>
      <c r="S5" s="45"/>
      <c r="T5" s="9"/>
      <c r="U5" s="9"/>
      <c r="V5" s="9"/>
      <c r="W5" s="9"/>
      <c r="X5" s="9"/>
      <c r="Y5" s="9"/>
      <c r="Z5" s="9"/>
      <c r="AA5" s="10"/>
      <c r="AB5" s="10"/>
      <c r="AC5" s="10"/>
      <c r="AD5" s="10"/>
      <c r="AE5" s="10"/>
    </row>
    <row r="6" spans="1:31" ht="24.95" customHeight="1" x14ac:dyDescent="0.25">
      <c r="A6" s="39">
        <v>2</v>
      </c>
      <c r="B6" s="38" t="s">
        <v>28</v>
      </c>
      <c r="C6" s="38" t="s">
        <v>29</v>
      </c>
      <c r="D6" s="38" t="s">
        <v>30</v>
      </c>
      <c r="E6" s="38" t="s">
        <v>24</v>
      </c>
      <c r="F6" s="39">
        <v>1</v>
      </c>
      <c r="G6" s="40" t="s">
        <v>585</v>
      </c>
      <c r="H6" s="40" t="s">
        <v>585</v>
      </c>
      <c r="I6" s="40" t="s">
        <v>585</v>
      </c>
      <c r="J6" s="41">
        <v>1</v>
      </c>
      <c r="K6" s="40" t="s">
        <v>586</v>
      </c>
      <c r="L6" s="40" t="s">
        <v>587</v>
      </c>
      <c r="M6" s="40" t="s">
        <v>582</v>
      </c>
      <c r="N6" s="42" t="s">
        <v>588</v>
      </c>
      <c r="O6" s="43" t="s">
        <v>771</v>
      </c>
      <c r="P6" s="43" t="s">
        <v>444</v>
      </c>
      <c r="Q6" s="43"/>
      <c r="R6" s="44"/>
      <c r="S6" s="45" t="s">
        <v>894</v>
      </c>
      <c r="T6" s="9"/>
      <c r="U6" s="9"/>
      <c r="V6" s="9"/>
      <c r="W6" s="9"/>
      <c r="X6" s="9"/>
      <c r="Y6" s="9"/>
      <c r="Z6" s="9"/>
      <c r="AA6" s="10"/>
      <c r="AB6" s="10"/>
      <c r="AC6" s="10"/>
      <c r="AD6" s="10"/>
      <c r="AE6" s="10"/>
    </row>
    <row r="7" spans="1:31" ht="24.95" customHeight="1" x14ac:dyDescent="0.25">
      <c r="A7" s="39">
        <v>3</v>
      </c>
      <c r="B7" s="38" t="s">
        <v>32</v>
      </c>
      <c r="C7" s="38" t="s">
        <v>33</v>
      </c>
      <c r="D7" s="38" t="s">
        <v>34</v>
      </c>
      <c r="E7" s="38" t="s">
        <v>36</v>
      </c>
      <c r="F7" s="39">
        <v>0</v>
      </c>
      <c r="G7" s="40" t="s">
        <v>589</v>
      </c>
      <c r="H7" s="40" t="s">
        <v>589</v>
      </c>
      <c r="I7" s="40" t="s">
        <v>589</v>
      </c>
      <c r="J7" s="41">
        <v>1</v>
      </c>
      <c r="K7" s="40" t="s">
        <v>590</v>
      </c>
      <c r="L7" s="40" t="s">
        <v>587</v>
      </c>
      <c r="M7" s="40" t="s">
        <v>582</v>
      </c>
      <c r="N7" s="42" t="s">
        <v>591</v>
      </c>
      <c r="O7" s="43" t="s">
        <v>771</v>
      </c>
      <c r="P7" s="43"/>
      <c r="Q7" s="43"/>
      <c r="R7" s="44"/>
      <c r="S7" s="45"/>
      <c r="T7" s="9"/>
      <c r="U7" s="9"/>
      <c r="V7" s="9"/>
      <c r="W7" s="9"/>
      <c r="X7" s="9"/>
      <c r="Y7" s="9"/>
      <c r="Z7" s="9"/>
      <c r="AA7" s="10"/>
      <c r="AB7" s="10"/>
      <c r="AC7" s="10"/>
      <c r="AD7" s="10"/>
      <c r="AE7" s="10"/>
    </row>
    <row r="8" spans="1:31" ht="24.95" customHeight="1" x14ac:dyDescent="0.25">
      <c r="A8" s="39">
        <v>4</v>
      </c>
      <c r="B8" s="38" t="s">
        <v>37</v>
      </c>
      <c r="C8" s="38" t="s">
        <v>592</v>
      </c>
      <c r="D8" s="38" t="s">
        <v>39</v>
      </c>
      <c r="E8" s="38" t="s">
        <v>36</v>
      </c>
      <c r="F8" s="39">
        <v>0</v>
      </c>
      <c r="G8" s="40" t="s">
        <v>589</v>
      </c>
      <c r="H8" s="40" t="s">
        <v>589</v>
      </c>
      <c r="I8" s="40" t="s">
        <v>589</v>
      </c>
      <c r="J8" s="41">
        <v>1</v>
      </c>
      <c r="K8" s="40" t="s">
        <v>590</v>
      </c>
      <c r="L8" s="40" t="s">
        <v>587</v>
      </c>
      <c r="M8" s="40" t="s">
        <v>582</v>
      </c>
      <c r="N8" s="42" t="s">
        <v>591</v>
      </c>
      <c r="O8" s="43" t="s">
        <v>771</v>
      </c>
      <c r="P8" s="43"/>
      <c r="Q8" s="43"/>
      <c r="R8" s="44"/>
      <c r="S8" s="45"/>
      <c r="T8" s="9"/>
      <c r="U8" s="9"/>
      <c r="V8" s="9"/>
      <c r="W8" s="9"/>
      <c r="X8" s="9"/>
      <c r="Y8" s="9"/>
      <c r="Z8" s="9"/>
      <c r="AA8" s="10"/>
      <c r="AB8" s="10"/>
      <c r="AC8" s="10"/>
      <c r="AD8" s="10"/>
      <c r="AE8" s="10"/>
    </row>
    <row r="9" spans="1:31" ht="24.95" customHeight="1" x14ac:dyDescent="0.25">
      <c r="A9" s="39">
        <v>5</v>
      </c>
      <c r="B9" s="38" t="s">
        <v>40</v>
      </c>
      <c r="C9" s="38" t="s">
        <v>41</v>
      </c>
      <c r="D9" s="38" t="s">
        <v>24</v>
      </c>
      <c r="E9" s="38" t="s">
        <v>36</v>
      </c>
      <c r="F9" s="39">
        <v>1</v>
      </c>
      <c r="G9" s="40" t="s">
        <v>589</v>
      </c>
      <c r="H9" s="40" t="s">
        <v>589</v>
      </c>
      <c r="I9" s="40" t="s">
        <v>589</v>
      </c>
      <c r="J9" s="41">
        <v>1</v>
      </c>
      <c r="K9" s="40" t="s">
        <v>590</v>
      </c>
      <c r="L9" s="40" t="s">
        <v>587</v>
      </c>
      <c r="M9" s="40" t="s">
        <v>593</v>
      </c>
      <c r="N9" s="42"/>
      <c r="O9" s="43" t="s">
        <v>771</v>
      </c>
      <c r="P9" s="43"/>
      <c r="Q9" s="43"/>
      <c r="R9" s="44"/>
      <c r="S9" s="45"/>
      <c r="T9" s="9"/>
      <c r="U9" s="9"/>
      <c r="V9" s="9"/>
      <c r="W9" s="9"/>
      <c r="X9" s="9"/>
      <c r="Y9" s="9"/>
      <c r="Z9" s="9"/>
      <c r="AA9" s="10"/>
      <c r="AB9" s="10"/>
      <c r="AC9" s="10"/>
      <c r="AD9" s="10"/>
      <c r="AE9" s="10"/>
    </row>
    <row r="10" spans="1:31" ht="24.95" customHeight="1" x14ac:dyDescent="0.25">
      <c r="A10" s="39">
        <v>6</v>
      </c>
      <c r="B10" s="38" t="s">
        <v>42</v>
      </c>
      <c r="C10" s="38" t="s">
        <v>43</v>
      </c>
      <c r="D10" s="38" t="s">
        <v>44</v>
      </c>
      <c r="E10" s="38" t="s">
        <v>36</v>
      </c>
      <c r="F10" s="39">
        <v>1</v>
      </c>
      <c r="G10" s="40" t="s">
        <v>589</v>
      </c>
      <c r="H10" s="40" t="s">
        <v>589</v>
      </c>
      <c r="I10" s="40" t="s">
        <v>589</v>
      </c>
      <c r="J10" s="41">
        <v>1</v>
      </c>
      <c r="K10" s="40" t="s">
        <v>590</v>
      </c>
      <c r="L10" s="40" t="s">
        <v>587</v>
      </c>
      <c r="M10" s="40" t="s">
        <v>593</v>
      </c>
      <c r="N10" s="42"/>
      <c r="O10" s="43" t="s">
        <v>771</v>
      </c>
      <c r="P10" s="43"/>
      <c r="Q10" s="43"/>
      <c r="R10" s="44"/>
      <c r="S10" s="45"/>
      <c r="T10" s="9"/>
      <c r="U10" s="9"/>
      <c r="V10" s="9"/>
      <c r="W10" s="9"/>
      <c r="X10" s="9"/>
      <c r="Y10" s="9"/>
      <c r="Z10" s="9"/>
      <c r="AA10" s="10"/>
      <c r="AB10" s="10"/>
      <c r="AC10" s="10"/>
      <c r="AD10" s="10"/>
      <c r="AE10" s="10"/>
    </row>
    <row r="11" spans="1:31" ht="24.95" customHeight="1" x14ac:dyDescent="0.25">
      <c r="A11" s="39">
        <v>7</v>
      </c>
      <c r="B11" s="38" t="s">
        <v>46</v>
      </c>
      <c r="C11" s="38" t="s">
        <v>47</v>
      </c>
      <c r="D11" s="38" t="s">
        <v>24</v>
      </c>
      <c r="E11" s="38" t="s">
        <v>36</v>
      </c>
      <c r="F11" s="39">
        <v>1</v>
      </c>
      <c r="G11" s="40" t="s">
        <v>594</v>
      </c>
      <c r="H11" s="40" t="s">
        <v>594</v>
      </c>
      <c r="I11" s="40" t="s">
        <v>594</v>
      </c>
      <c r="J11" s="41"/>
      <c r="K11" s="40" t="s">
        <v>595</v>
      </c>
      <c r="L11" s="40" t="s">
        <v>587</v>
      </c>
      <c r="M11" s="40" t="s">
        <v>582</v>
      </c>
      <c r="N11" s="42" t="s">
        <v>596</v>
      </c>
      <c r="O11" s="43" t="s">
        <v>771</v>
      </c>
      <c r="P11" s="43"/>
      <c r="Q11" s="43"/>
      <c r="R11" s="44"/>
      <c r="S11" s="45" t="s">
        <v>895</v>
      </c>
      <c r="T11" s="9"/>
      <c r="U11" s="9"/>
      <c r="V11" s="9"/>
      <c r="W11" s="9"/>
      <c r="X11" s="9"/>
      <c r="Y11" s="9"/>
      <c r="Z11" s="9"/>
      <c r="AA11" s="10"/>
      <c r="AB11" s="10"/>
      <c r="AC11" s="10"/>
      <c r="AD11" s="10"/>
      <c r="AE11" s="10"/>
    </row>
    <row r="12" spans="1:31" ht="24.95" customHeight="1" x14ac:dyDescent="0.25">
      <c r="A12" s="39">
        <v>8</v>
      </c>
      <c r="B12" s="38" t="s">
        <v>48</v>
      </c>
      <c r="C12" s="38" t="s">
        <v>49</v>
      </c>
      <c r="D12" s="38" t="s">
        <v>50</v>
      </c>
      <c r="E12" s="38" t="s">
        <v>36</v>
      </c>
      <c r="F12" s="39">
        <v>1</v>
      </c>
      <c r="G12" s="40" t="s">
        <v>589</v>
      </c>
      <c r="H12" s="40" t="s">
        <v>589</v>
      </c>
      <c r="I12" s="40" t="s">
        <v>589</v>
      </c>
      <c r="J12" s="41">
        <v>1</v>
      </c>
      <c r="K12" s="40" t="s">
        <v>590</v>
      </c>
      <c r="L12" s="40" t="s">
        <v>587</v>
      </c>
      <c r="M12" s="40" t="s">
        <v>593</v>
      </c>
      <c r="N12" s="42"/>
      <c r="O12" s="43" t="s">
        <v>771</v>
      </c>
      <c r="P12" s="43"/>
      <c r="Q12" s="43"/>
      <c r="R12" s="44"/>
      <c r="S12" s="45"/>
      <c r="T12" s="9"/>
      <c r="U12" s="9"/>
      <c r="V12" s="9"/>
      <c r="W12" s="9"/>
      <c r="X12" s="9"/>
      <c r="Y12" s="9"/>
      <c r="Z12" s="9"/>
      <c r="AA12" s="10"/>
      <c r="AB12" s="10"/>
      <c r="AC12" s="10"/>
      <c r="AD12" s="10"/>
      <c r="AE12" s="10"/>
    </row>
    <row r="13" spans="1:31" ht="24.95" customHeight="1" x14ac:dyDescent="0.25">
      <c r="A13" s="39">
        <v>9</v>
      </c>
      <c r="B13" s="38" t="s">
        <v>51</v>
      </c>
      <c r="C13" s="38" t="s">
        <v>52</v>
      </c>
      <c r="D13" s="38" t="s">
        <v>53</v>
      </c>
      <c r="E13" s="38" t="s">
        <v>36</v>
      </c>
      <c r="F13" s="39">
        <v>1</v>
      </c>
      <c r="G13" s="40" t="s">
        <v>589</v>
      </c>
      <c r="H13" s="40" t="s">
        <v>589</v>
      </c>
      <c r="I13" s="40" t="s">
        <v>589</v>
      </c>
      <c r="J13" s="41">
        <v>1</v>
      </c>
      <c r="K13" s="40" t="s">
        <v>590</v>
      </c>
      <c r="L13" s="40" t="s">
        <v>587</v>
      </c>
      <c r="M13" s="40" t="s">
        <v>593</v>
      </c>
      <c r="N13" s="42"/>
      <c r="O13" s="43" t="s">
        <v>771</v>
      </c>
      <c r="P13" s="43"/>
      <c r="Q13" s="43"/>
      <c r="R13" s="44"/>
      <c r="S13" s="45"/>
      <c r="T13" s="9"/>
      <c r="U13" s="9"/>
      <c r="V13" s="9"/>
      <c r="W13" s="9"/>
      <c r="X13" s="9"/>
      <c r="Y13" s="9"/>
      <c r="Z13" s="9"/>
      <c r="AA13" s="10"/>
      <c r="AB13" s="10"/>
      <c r="AC13" s="10"/>
      <c r="AD13" s="10"/>
      <c r="AE13" s="10"/>
    </row>
    <row r="14" spans="1:31" ht="24.95" customHeight="1" x14ac:dyDescent="0.25">
      <c r="A14" s="39">
        <v>10</v>
      </c>
      <c r="B14" s="38" t="s">
        <v>54</v>
      </c>
      <c r="C14" s="38" t="s">
        <v>55</v>
      </c>
      <c r="D14" s="38" t="s">
        <v>24</v>
      </c>
      <c r="E14" s="38" t="s">
        <v>36</v>
      </c>
      <c r="F14" s="39">
        <v>1</v>
      </c>
      <c r="G14" s="40" t="s">
        <v>589</v>
      </c>
      <c r="H14" s="40" t="s">
        <v>589</v>
      </c>
      <c r="I14" s="40" t="s">
        <v>589</v>
      </c>
      <c r="J14" s="41">
        <v>1</v>
      </c>
      <c r="K14" s="40" t="s">
        <v>590</v>
      </c>
      <c r="L14" s="40" t="s">
        <v>587</v>
      </c>
      <c r="M14" s="40" t="s">
        <v>593</v>
      </c>
      <c r="N14" s="42"/>
      <c r="O14" s="43" t="s">
        <v>771</v>
      </c>
      <c r="P14" s="43"/>
      <c r="Q14" s="43"/>
      <c r="R14" s="44"/>
      <c r="S14" s="45"/>
      <c r="T14" s="9"/>
      <c r="U14" s="9"/>
      <c r="V14" s="9"/>
      <c r="W14" s="9"/>
      <c r="X14" s="9"/>
      <c r="Y14" s="9"/>
      <c r="Z14" s="9"/>
      <c r="AA14" s="10"/>
      <c r="AB14" s="10"/>
      <c r="AC14" s="10"/>
      <c r="AD14" s="10"/>
      <c r="AE14" s="10"/>
    </row>
    <row r="15" spans="1:31" ht="24.95" customHeight="1" x14ac:dyDescent="0.25">
      <c r="A15" s="39">
        <v>11</v>
      </c>
      <c r="B15" s="38" t="s">
        <v>56</v>
      </c>
      <c r="C15" s="38" t="s">
        <v>57</v>
      </c>
      <c r="D15" s="38" t="s">
        <v>24</v>
      </c>
      <c r="E15" s="38" t="s">
        <v>36</v>
      </c>
      <c r="F15" s="39">
        <v>1</v>
      </c>
      <c r="G15" s="40" t="s">
        <v>597</v>
      </c>
      <c r="H15" s="40" t="s">
        <v>597</v>
      </c>
      <c r="I15" s="40" t="s">
        <v>597</v>
      </c>
      <c r="J15" s="41">
        <v>1</v>
      </c>
      <c r="K15" s="40" t="s">
        <v>598</v>
      </c>
      <c r="L15" s="40" t="s">
        <v>587</v>
      </c>
      <c r="M15" s="40" t="s">
        <v>582</v>
      </c>
      <c r="N15" s="42" t="s">
        <v>599</v>
      </c>
      <c r="O15" s="43" t="s">
        <v>771</v>
      </c>
      <c r="P15" s="43" t="s">
        <v>896</v>
      </c>
      <c r="Q15" s="43"/>
      <c r="R15" s="44"/>
      <c r="S15" s="45"/>
      <c r="T15" s="9"/>
      <c r="U15" s="9"/>
      <c r="V15" s="9"/>
      <c r="W15" s="9"/>
      <c r="X15" s="9"/>
      <c r="Y15" s="9"/>
      <c r="Z15" s="9"/>
      <c r="AA15" s="10"/>
      <c r="AB15" s="10"/>
      <c r="AC15" s="10"/>
      <c r="AD15" s="10"/>
      <c r="AE15" s="10"/>
    </row>
    <row r="16" spans="1:31" ht="24.95" customHeight="1" x14ac:dyDescent="0.25">
      <c r="A16" s="39">
        <v>12</v>
      </c>
      <c r="B16" s="38" t="s">
        <v>58</v>
      </c>
      <c r="C16" s="38" t="s">
        <v>58</v>
      </c>
      <c r="D16" s="38" t="s">
        <v>58</v>
      </c>
      <c r="E16" s="38" t="s">
        <v>60</v>
      </c>
      <c r="F16" s="39">
        <v>1</v>
      </c>
      <c r="G16" s="40" t="s">
        <v>585</v>
      </c>
      <c r="H16" s="40" t="s">
        <v>585</v>
      </c>
      <c r="I16" s="40" t="s">
        <v>585</v>
      </c>
      <c r="J16" s="41">
        <v>1</v>
      </c>
      <c r="K16" s="40" t="s">
        <v>600</v>
      </c>
      <c r="L16" s="40" t="s">
        <v>587</v>
      </c>
      <c r="M16" s="40" t="s">
        <v>593</v>
      </c>
      <c r="N16" s="42"/>
      <c r="O16" s="43" t="s">
        <v>771</v>
      </c>
      <c r="P16" s="43"/>
      <c r="Q16" s="43"/>
      <c r="R16" s="44"/>
      <c r="S16" s="45"/>
      <c r="T16" s="9"/>
      <c r="U16" s="9"/>
      <c r="V16" s="9"/>
      <c r="W16" s="9"/>
      <c r="X16" s="9"/>
      <c r="Y16" s="9"/>
      <c r="Z16" s="9"/>
      <c r="AA16" s="10"/>
      <c r="AB16" s="10"/>
      <c r="AC16" s="10"/>
      <c r="AD16" s="10"/>
      <c r="AE16" s="10"/>
    </row>
    <row r="17" spans="1:31" ht="24.95" customHeight="1" x14ac:dyDescent="0.25">
      <c r="A17" s="39">
        <v>13</v>
      </c>
      <c r="B17" s="38" t="s">
        <v>61</v>
      </c>
      <c r="C17" s="38" t="s">
        <v>62</v>
      </c>
      <c r="D17" s="38" t="s">
        <v>63</v>
      </c>
      <c r="E17" s="38" t="s">
        <v>60</v>
      </c>
      <c r="F17" s="39">
        <v>1</v>
      </c>
      <c r="G17" s="40" t="s">
        <v>585</v>
      </c>
      <c r="H17" s="40" t="s">
        <v>585</v>
      </c>
      <c r="I17" s="40" t="s">
        <v>585</v>
      </c>
      <c r="J17" s="41">
        <v>1</v>
      </c>
      <c r="K17" s="40" t="s">
        <v>600</v>
      </c>
      <c r="L17" s="40" t="s">
        <v>587</v>
      </c>
      <c r="M17" s="40" t="s">
        <v>593</v>
      </c>
      <c r="N17" s="42"/>
      <c r="O17" s="43" t="s">
        <v>771</v>
      </c>
      <c r="P17" s="43"/>
      <c r="Q17" s="43"/>
      <c r="R17" s="44"/>
      <c r="S17" s="45"/>
      <c r="T17" s="9"/>
      <c r="U17" s="9"/>
      <c r="V17" s="9"/>
      <c r="W17" s="9"/>
      <c r="X17" s="9"/>
      <c r="Y17" s="9"/>
      <c r="Z17" s="9"/>
      <c r="AA17" s="10"/>
      <c r="AB17" s="10"/>
      <c r="AC17" s="10"/>
      <c r="AD17" s="10"/>
      <c r="AE17" s="10"/>
    </row>
    <row r="18" spans="1:31" ht="24.95" customHeight="1" x14ac:dyDescent="0.25">
      <c r="A18" s="39">
        <v>14</v>
      </c>
      <c r="B18" s="38" t="s">
        <v>64</v>
      </c>
      <c r="C18" s="38" t="s">
        <v>65</v>
      </c>
      <c r="D18" s="38" t="s">
        <v>601</v>
      </c>
      <c r="E18" s="38" t="s">
        <v>60</v>
      </c>
      <c r="F18" s="39">
        <v>1</v>
      </c>
      <c r="G18" s="40" t="s">
        <v>579</v>
      </c>
      <c r="H18" s="40" t="s">
        <v>597</v>
      </c>
      <c r="I18" s="40" t="s">
        <v>597</v>
      </c>
      <c r="J18" s="41"/>
      <c r="K18" s="40" t="s">
        <v>598</v>
      </c>
      <c r="L18" s="40" t="s">
        <v>587</v>
      </c>
      <c r="M18" s="40" t="s">
        <v>582</v>
      </c>
      <c r="N18" s="42" t="s">
        <v>602</v>
      </c>
      <c r="O18" s="43" t="s">
        <v>771</v>
      </c>
      <c r="P18" s="43" t="s">
        <v>897</v>
      </c>
      <c r="Q18" s="43"/>
      <c r="R18" s="44"/>
      <c r="S18" s="45"/>
      <c r="T18" s="9"/>
      <c r="U18" s="9"/>
      <c r="V18" s="9"/>
      <c r="W18" s="9"/>
      <c r="X18" s="9"/>
      <c r="Y18" s="9"/>
      <c r="Z18" s="9"/>
      <c r="AA18" s="10"/>
      <c r="AB18" s="10"/>
      <c r="AC18" s="10"/>
      <c r="AD18" s="10"/>
      <c r="AE18" s="10"/>
    </row>
    <row r="19" spans="1:31" ht="24.95" customHeight="1" x14ac:dyDescent="0.25">
      <c r="A19" s="39">
        <v>15</v>
      </c>
      <c r="B19" s="38" t="s">
        <v>67</v>
      </c>
      <c r="C19" s="38" t="s">
        <v>68</v>
      </c>
      <c r="D19" s="38" t="s">
        <v>69</v>
      </c>
      <c r="E19" s="38" t="s">
        <v>60</v>
      </c>
      <c r="F19" s="39">
        <v>1</v>
      </c>
      <c r="G19" s="40" t="s">
        <v>585</v>
      </c>
      <c r="H19" s="40" t="s">
        <v>585</v>
      </c>
      <c r="I19" s="40" t="s">
        <v>585</v>
      </c>
      <c r="J19" s="41">
        <v>1</v>
      </c>
      <c r="K19" s="40" t="s">
        <v>600</v>
      </c>
      <c r="L19" s="40" t="s">
        <v>587</v>
      </c>
      <c r="M19" s="40" t="s">
        <v>593</v>
      </c>
      <c r="N19" s="42"/>
      <c r="O19" s="43" t="s">
        <v>771</v>
      </c>
      <c r="P19" s="43"/>
      <c r="Q19" s="43"/>
      <c r="R19" s="44"/>
      <c r="S19" s="45"/>
      <c r="T19" s="9"/>
      <c r="U19" s="9"/>
      <c r="V19" s="9"/>
      <c r="W19" s="9"/>
      <c r="X19" s="9"/>
      <c r="Y19" s="9"/>
      <c r="Z19" s="9"/>
      <c r="AA19" s="10"/>
      <c r="AB19" s="10"/>
      <c r="AC19" s="10"/>
      <c r="AD19" s="10"/>
      <c r="AE19" s="10"/>
    </row>
    <row r="20" spans="1:31" ht="24.95" customHeight="1" x14ac:dyDescent="0.25">
      <c r="A20" s="39">
        <v>16</v>
      </c>
      <c r="B20" s="38" t="s">
        <v>70</v>
      </c>
      <c r="C20" s="38" t="s">
        <v>603</v>
      </c>
      <c r="D20" s="38" t="s">
        <v>72</v>
      </c>
      <c r="E20" s="38" t="s">
        <v>60</v>
      </c>
      <c r="F20" s="39">
        <v>1</v>
      </c>
      <c r="G20" s="40" t="s">
        <v>585</v>
      </c>
      <c r="H20" s="40" t="s">
        <v>585</v>
      </c>
      <c r="I20" s="40" t="s">
        <v>585</v>
      </c>
      <c r="J20" s="41">
        <v>1</v>
      </c>
      <c r="K20" s="40" t="s">
        <v>600</v>
      </c>
      <c r="L20" s="40" t="s">
        <v>587</v>
      </c>
      <c r="M20" s="40" t="s">
        <v>593</v>
      </c>
      <c r="N20" s="42"/>
      <c r="O20" s="43" t="s">
        <v>771</v>
      </c>
      <c r="P20" s="43"/>
      <c r="Q20" s="43"/>
      <c r="R20" s="44"/>
      <c r="S20" s="45"/>
      <c r="T20" s="9"/>
      <c r="U20" s="9"/>
      <c r="V20" s="9"/>
      <c r="W20" s="9"/>
      <c r="X20" s="9"/>
      <c r="Y20" s="9"/>
      <c r="Z20" s="9"/>
      <c r="AA20" s="10"/>
      <c r="AB20" s="10"/>
      <c r="AC20" s="10"/>
      <c r="AD20" s="10"/>
      <c r="AE20" s="10"/>
    </row>
    <row r="21" spans="1:31" ht="24.95" customHeight="1" x14ac:dyDescent="0.25">
      <c r="A21" s="39">
        <v>17</v>
      </c>
      <c r="B21" s="38" t="s">
        <v>73</v>
      </c>
      <c r="C21" s="38" t="s">
        <v>74</v>
      </c>
      <c r="D21" s="38" t="s">
        <v>75</v>
      </c>
      <c r="E21" s="38" t="s">
        <v>60</v>
      </c>
      <c r="F21" s="39">
        <v>0</v>
      </c>
      <c r="G21" s="40" t="s">
        <v>585</v>
      </c>
      <c r="H21" s="40" t="s">
        <v>585</v>
      </c>
      <c r="I21" s="40" t="s">
        <v>585</v>
      </c>
      <c r="J21" s="41">
        <v>1</v>
      </c>
      <c r="K21" s="40" t="s">
        <v>600</v>
      </c>
      <c r="L21" s="40" t="s">
        <v>587</v>
      </c>
      <c r="M21" s="40" t="s">
        <v>582</v>
      </c>
      <c r="N21" s="42" t="s">
        <v>591</v>
      </c>
      <c r="O21" s="43" t="s">
        <v>771</v>
      </c>
      <c r="P21" s="43" t="s">
        <v>897</v>
      </c>
      <c r="Q21" s="43"/>
      <c r="R21" s="44"/>
      <c r="S21" s="45" t="s">
        <v>899</v>
      </c>
      <c r="T21" s="11" t="s">
        <v>604</v>
      </c>
      <c r="U21" s="9"/>
      <c r="V21" s="9"/>
      <c r="W21" s="9"/>
      <c r="X21" s="9"/>
      <c r="Y21" s="12" t="s">
        <v>605</v>
      </c>
      <c r="Z21" s="12" t="s">
        <v>606</v>
      </c>
      <c r="AA21" s="10"/>
      <c r="AB21" s="10"/>
      <c r="AC21" s="10"/>
      <c r="AD21" s="10"/>
      <c r="AE21" s="10"/>
    </row>
    <row r="22" spans="1:31" ht="24.95" customHeight="1" x14ac:dyDescent="0.25">
      <c r="A22" s="39">
        <v>18</v>
      </c>
      <c r="B22" s="38" t="s">
        <v>76</v>
      </c>
      <c r="C22" s="38" t="s">
        <v>77</v>
      </c>
      <c r="D22" s="38" t="s">
        <v>78</v>
      </c>
      <c r="E22" s="38" t="s">
        <v>60</v>
      </c>
      <c r="F22" s="39">
        <v>1</v>
      </c>
      <c r="G22" s="40" t="s">
        <v>585</v>
      </c>
      <c r="H22" s="40" t="s">
        <v>585</v>
      </c>
      <c r="I22" s="40" t="s">
        <v>585</v>
      </c>
      <c r="J22" s="41">
        <v>1</v>
      </c>
      <c r="K22" s="40" t="s">
        <v>600</v>
      </c>
      <c r="L22" s="40" t="s">
        <v>587</v>
      </c>
      <c r="M22" s="40" t="s">
        <v>593</v>
      </c>
      <c r="N22" s="42"/>
      <c r="O22" s="43" t="s">
        <v>771</v>
      </c>
      <c r="P22" s="43"/>
      <c r="Q22" s="43"/>
      <c r="R22" s="44"/>
      <c r="S22" s="45"/>
      <c r="T22" s="9"/>
      <c r="U22" s="9"/>
      <c r="V22" s="9"/>
      <c r="W22" s="9"/>
      <c r="X22" s="9"/>
      <c r="Y22" s="9"/>
      <c r="Z22" s="9"/>
      <c r="AA22" s="10"/>
      <c r="AB22" s="10"/>
      <c r="AC22" s="10"/>
      <c r="AD22" s="10"/>
      <c r="AE22" s="10"/>
    </row>
    <row r="23" spans="1:31" ht="24.95" customHeight="1" x14ac:dyDescent="0.25">
      <c r="A23" s="39">
        <v>19</v>
      </c>
      <c r="B23" s="38" t="s">
        <v>79</v>
      </c>
      <c r="C23" s="38" t="s">
        <v>80</v>
      </c>
      <c r="D23" s="38" t="s">
        <v>81</v>
      </c>
      <c r="E23" s="38" t="s">
        <v>60</v>
      </c>
      <c r="F23" s="39">
        <v>0</v>
      </c>
      <c r="G23" s="40" t="s">
        <v>585</v>
      </c>
      <c r="H23" s="40" t="s">
        <v>585</v>
      </c>
      <c r="I23" s="40" t="s">
        <v>585</v>
      </c>
      <c r="J23" s="41">
        <v>1</v>
      </c>
      <c r="K23" s="40" t="s">
        <v>600</v>
      </c>
      <c r="L23" s="40" t="s">
        <v>587</v>
      </c>
      <c r="M23" s="40" t="s">
        <v>582</v>
      </c>
      <c r="N23" s="42" t="s">
        <v>591</v>
      </c>
      <c r="O23" s="43" t="s">
        <v>773</v>
      </c>
      <c r="P23" s="43"/>
      <c r="Q23" s="43"/>
      <c r="R23" s="44"/>
      <c r="S23" s="45" t="s">
        <v>898</v>
      </c>
      <c r="T23" s="9"/>
      <c r="U23" s="9"/>
      <c r="V23" s="9"/>
      <c r="W23" s="9"/>
      <c r="X23" s="9"/>
      <c r="Y23" s="9"/>
      <c r="Z23" s="9"/>
      <c r="AA23" s="10"/>
      <c r="AB23" s="10"/>
      <c r="AC23" s="10"/>
      <c r="AD23" s="10"/>
      <c r="AE23" s="10"/>
    </row>
    <row r="24" spans="1:31" ht="24.95" customHeight="1" x14ac:dyDescent="0.25">
      <c r="A24" s="39">
        <v>20</v>
      </c>
      <c r="B24" s="38" t="s">
        <v>82</v>
      </c>
      <c r="C24" s="38" t="s">
        <v>607</v>
      </c>
      <c r="D24" s="38" t="s">
        <v>84</v>
      </c>
      <c r="E24" s="38" t="s">
        <v>60</v>
      </c>
      <c r="F24" s="39">
        <v>1</v>
      </c>
      <c r="G24" s="40" t="s">
        <v>585</v>
      </c>
      <c r="H24" s="40" t="s">
        <v>585</v>
      </c>
      <c r="I24" s="40" t="s">
        <v>585</v>
      </c>
      <c r="J24" s="41">
        <v>1</v>
      </c>
      <c r="K24" s="40" t="s">
        <v>600</v>
      </c>
      <c r="L24" s="40" t="s">
        <v>587</v>
      </c>
      <c r="M24" s="40" t="s">
        <v>593</v>
      </c>
      <c r="N24" s="42"/>
      <c r="O24" s="43" t="s">
        <v>771</v>
      </c>
      <c r="P24" s="43"/>
      <c r="Q24" s="43"/>
      <c r="R24" s="44"/>
      <c r="S24" s="45"/>
      <c r="T24" s="9"/>
      <c r="U24" s="9"/>
      <c r="V24" s="9"/>
      <c r="W24" s="9"/>
      <c r="X24" s="9"/>
      <c r="Y24" s="9"/>
      <c r="Z24" s="9"/>
      <c r="AA24" s="10"/>
      <c r="AB24" s="10"/>
      <c r="AC24" s="10"/>
      <c r="AD24" s="10"/>
      <c r="AE24" s="10"/>
    </row>
    <row r="25" spans="1:31" ht="24.95" customHeight="1" x14ac:dyDescent="0.25">
      <c r="A25" s="39">
        <v>22</v>
      </c>
      <c r="B25" s="38" t="s">
        <v>87</v>
      </c>
      <c r="C25" s="38" t="s">
        <v>88</v>
      </c>
      <c r="D25" s="38" t="s">
        <v>89</v>
      </c>
      <c r="E25" s="38" t="s">
        <v>60</v>
      </c>
      <c r="F25" s="39">
        <v>1</v>
      </c>
      <c r="G25" s="40" t="s">
        <v>585</v>
      </c>
      <c r="H25" s="40" t="s">
        <v>585</v>
      </c>
      <c r="I25" s="40" t="s">
        <v>585</v>
      </c>
      <c r="J25" s="41">
        <v>1</v>
      </c>
      <c r="K25" s="40" t="s">
        <v>600</v>
      </c>
      <c r="L25" s="40" t="s">
        <v>587</v>
      </c>
      <c r="M25" s="40" t="s">
        <v>593</v>
      </c>
      <c r="N25" s="42"/>
      <c r="O25" s="43" t="s">
        <v>771</v>
      </c>
      <c r="P25" s="43"/>
      <c r="Q25" s="43"/>
      <c r="R25" s="44"/>
      <c r="S25" s="45"/>
      <c r="T25" s="9"/>
      <c r="U25" s="9"/>
      <c r="V25" s="9"/>
      <c r="W25" s="9"/>
      <c r="X25" s="9"/>
      <c r="Y25" s="9"/>
      <c r="Z25" s="9"/>
      <c r="AA25" s="10"/>
      <c r="AB25" s="10"/>
      <c r="AC25" s="10"/>
      <c r="AD25" s="10"/>
      <c r="AE25" s="10"/>
    </row>
    <row r="26" spans="1:31" ht="24.95" customHeight="1" x14ac:dyDescent="0.25">
      <c r="A26" s="39">
        <v>23</v>
      </c>
      <c r="B26" s="38" t="s">
        <v>90</v>
      </c>
      <c r="C26" s="38" t="s">
        <v>608</v>
      </c>
      <c r="D26" s="38" t="s">
        <v>92</v>
      </c>
      <c r="E26" s="38" t="s">
        <v>60</v>
      </c>
      <c r="F26" s="39">
        <v>1</v>
      </c>
      <c r="G26" s="40" t="s">
        <v>585</v>
      </c>
      <c r="H26" s="40" t="s">
        <v>585</v>
      </c>
      <c r="I26" s="40" t="s">
        <v>585</v>
      </c>
      <c r="J26" s="41">
        <v>1</v>
      </c>
      <c r="K26" s="40" t="s">
        <v>600</v>
      </c>
      <c r="L26" s="40" t="s">
        <v>587</v>
      </c>
      <c r="M26" s="40" t="s">
        <v>593</v>
      </c>
      <c r="N26" s="42"/>
      <c r="O26" s="43" t="s">
        <v>771</v>
      </c>
      <c r="P26" s="43"/>
      <c r="Q26" s="43"/>
      <c r="R26" s="44"/>
      <c r="S26" s="45"/>
      <c r="T26" s="9"/>
      <c r="U26" s="9"/>
      <c r="V26" s="9"/>
      <c r="W26" s="9"/>
      <c r="X26" s="9"/>
      <c r="Y26" s="9"/>
      <c r="Z26" s="9"/>
      <c r="AA26" s="10"/>
      <c r="AB26" s="10"/>
      <c r="AC26" s="10"/>
      <c r="AD26" s="10"/>
      <c r="AE26" s="10"/>
    </row>
    <row r="27" spans="1:31" ht="24.95" customHeight="1" x14ac:dyDescent="0.25">
      <c r="A27" s="39">
        <v>24</v>
      </c>
      <c r="B27" s="38" t="s">
        <v>93</v>
      </c>
      <c r="C27" s="38" t="s">
        <v>94</v>
      </c>
      <c r="D27" s="38" t="s">
        <v>95</v>
      </c>
      <c r="E27" s="38" t="s">
        <v>60</v>
      </c>
      <c r="F27" s="39">
        <v>1</v>
      </c>
      <c r="G27" s="40" t="s">
        <v>585</v>
      </c>
      <c r="H27" s="40" t="s">
        <v>585</v>
      </c>
      <c r="I27" s="40" t="s">
        <v>585</v>
      </c>
      <c r="J27" s="41">
        <v>1</v>
      </c>
      <c r="K27" s="40" t="s">
        <v>600</v>
      </c>
      <c r="L27" s="40" t="s">
        <v>587</v>
      </c>
      <c r="M27" s="40" t="s">
        <v>593</v>
      </c>
      <c r="N27" s="42"/>
      <c r="O27" s="43" t="s">
        <v>771</v>
      </c>
      <c r="P27" s="43"/>
      <c r="Q27" s="43"/>
      <c r="R27" s="44"/>
      <c r="S27" s="45"/>
      <c r="T27" s="11" t="s">
        <v>609</v>
      </c>
      <c r="U27" s="9" t="s">
        <v>94</v>
      </c>
      <c r="V27" s="9">
        <v>5</v>
      </c>
      <c r="W27" s="9" t="s">
        <v>610</v>
      </c>
      <c r="X27" s="11" t="s">
        <v>611</v>
      </c>
      <c r="Y27" s="12" t="s">
        <v>612</v>
      </c>
      <c r="Z27" s="12" t="s">
        <v>613</v>
      </c>
      <c r="AA27" s="10"/>
      <c r="AB27" s="10"/>
      <c r="AC27" s="10"/>
      <c r="AD27" s="10"/>
      <c r="AE27" s="10" t="s">
        <v>584</v>
      </c>
    </row>
    <row r="28" spans="1:31" ht="24.95" customHeight="1" x14ac:dyDescent="0.25">
      <c r="A28" s="39">
        <v>25</v>
      </c>
      <c r="B28" s="38" t="s">
        <v>96</v>
      </c>
      <c r="C28" s="38" t="s">
        <v>97</v>
      </c>
      <c r="D28" s="38" t="s">
        <v>98</v>
      </c>
      <c r="E28" s="38" t="s">
        <v>60</v>
      </c>
      <c r="F28" s="39">
        <v>1</v>
      </c>
      <c r="G28" s="40" t="s">
        <v>585</v>
      </c>
      <c r="H28" s="40" t="s">
        <v>585</v>
      </c>
      <c r="I28" s="40" t="s">
        <v>585</v>
      </c>
      <c r="J28" s="41">
        <v>1</v>
      </c>
      <c r="K28" s="40" t="s">
        <v>600</v>
      </c>
      <c r="L28" s="40" t="s">
        <v>587</v>
      </c>
      <c r="M28" s="40" t="s">
        <v>593</v>
      </c>
      <c r="N28" s="42"/>
      <c r="O28" s="43" t="s">
        <v>771</v>
      </c>
      <c r="P28" s="43"/>
      <c r="Q28" s="43"/>
      <c r="R28" s="44"/>
      <c r="S28" s="45"/>
      <c r="T28" s="9"/>
      <c r="U28" s="9"/>
      <c r="V28" s="9"/>
      <c r="W28" s="9"/>
      <c r="X28" s="9"/>
      <c r="Y28" s="9"/>
      <c r="Z28" s="9"/>
      <c r="AA28" s="10"/>
      <c r="AB28" s="10"/>
      <c r="AC28" s="10"/>
      <c r="AD28" s="10"/>
      <c r="AE28" s="10"/>
    </row>
    <row r="29" spans="1:31" ht="24.95" customHeight="1" x14ac:dyDescent="0.25">
      <c r="A29" s="39">
        <v>26</v>
      </c>
      <c r="B29" s="38" t="s">
        <v>99</v>
      </c>
      <c r="C29" s="38" t="s">
        <v>100</v>
      </c>
      <c r="D29" s="38" t="s">
        <v>101</v>
      </c>
      <c r="E29" s="38" t="s">
        <v>60</v>
      </c>
      <c r="F29" s="39">
        <v>0</v>
      </c>
      <c r="G29" s="40" t="s">
        <v>585</v>
      </c>
      <c r="H29" s="40" t="s">
        <v>585</v>
      </c>
      <c r="I29" s="40" t="s">
        <v>585</v>
      </c>
      <c r="J29" s="41">
        <v>1</v>
      </c>
      <c r="K29" s="40" t="s">
        <v>600</v>
      </c>
      <c r="L29" s="40" t="s">
        <v>587</v>
      </c>
      <c r="M29" s="40" t="s">
        <v>582</v>
      </c>
      <c r="N29" s="42" t="s">
        <v>591</v>
      </c>
      <c r="O29" s="43" t="s">
        <v>771</v>
      </c>
      <c r="P29" s="43" t="s">
        <v>897</v>
      </c>
      <c r="Q29" s="43"/>
      <c r="R29" s="44"/>
      <c r="S29" s="45"/>
      <c r="T29" s="9"/>
      <c r="U29" s="9"/>
      <c r="V29" s="9"/>
      <c r="W29" s="9"/>
      <c r="X29" s="9"/>
      <c r="Y29" s="9"/>
      <c r="Z29" s="9"/>
      <c r="AA29" s="10"/>
      <c r="AB29" s="10"/>
      <c r="AC29" s="10"/>
      <c r="AD29" s="10"/>
      <c r="AE29" s="10"/>
    </row>
    <row r="30" spans="1:31" ht="24.95" customHeight="1" x14ac:dyDescent="0.25">
      <c r="A30" s="39">
        <v>27</v>
      </c>
      <c r="B30" s="38" t="s">
        <v>102</v>
      </c>
      <c r="C30" s="38" t="s">
        <v>103</v>
      </c>
      <c r="D30" s="38" t="s">
        <v>104</v>
      </c>
      <c r="E30" s="38" t="s">
        <v>60</v>
      </c>
      <c r="F30" s="39">
        <v>1</v>
      </c>
      <c r="G30" s="40" t="s">
        <v>585</v>
      </c>
      <c r="H30" s="40" t="s">
        <v>585</v>
      </c>
      <c r="I30" s="40" t="s">
        <v>585</v>
      </c>
      <c r="J30" s="41">
        <v>1</v>
      </c>
      <c r="K30" s="40" t="s">
        <v>600</v>
      </c>
      <c r="L30" s="40" t="s">
        <v>587</v>
      </c>
      <c r="M30" s="40" t="s">
        <v>593</v>
      </c>
      <c r="N30" s="42"/>
      <c r="O30" s="43" t="s">
        <v>771</v>
      </c>
      <c r="P30" s="43"/>
      <c r="Q30" s="43"/>
      <c r="R30" s="44"/>
      <c r="S30" s="45"/>
      <c r="T30" s="9"/>
      <c r="U30" s="9"/>
      <c r="V30" s="9"/>
      <c r="W30" s="9"/>
      <c r="X30" s="9"/>
      <c r="Y30" s="9"/>
      <c r="Z30" s="9"/>
      <c r="AA30" s="10"/>
      <c r="AB30" s="10"/>
      <c r="AC30" s="10"/>
      <c r="AD30" s="10"/>
      <c r="AE30" s="10"/>
    </row>
    <row r="31" spans="1:31" ht="24.95" customHeight="1" x14ac:dyDescent="0.25">
      <c r="A31" s="39">
        <v>28</v>
      </c>
      <c r="B31" s="38" t="s">
        <v>105</v>
      </c>
      <c r="C31" s="38" t="s">
        <v>614</v>
      </c>
      <c r="D31" s="38" t="s">
        <v>107</v>
      </c>
      <c r="E31" s="38" t="s">
        <v>60</v>
      </c>
      <c r="F31" s="39">
        <v>1</v>
      </c>
      <c r="G31" s="40" t="s">
        <v>585</v>
      </c>
      <c r="H31" s="40" t="s">
        <v>585</v>
      </c>
      <c r="I31" s="40" t="s">
        <v>585</v>
      </c>
      <c r="J31" s="41">
        <v>1</v>
      </c>
      <c r="K31" s="40" t="s">
        <v>600</v>
      </c>
      <c r="L31" s="40" t="s">
        <v>587</v>
      </c>
      <c r="M31" s="40" t="s">
        <v>593</v>
      </c>
      <c r="N31" s="42"/>
      <c r="O31" s="43" t="s">
        <v>771</v>
      </c>
      <c r="P31" s="43"/>
      <c r="Q31" s="43"/>
      <c r="R31" s="44"/>
      <c r="S31" s="45"/>
      <c r="T31" s="9"/>
      <c r="U31" s="9"/>
      <c r="V31" s="9"/>
      <c r="W31" s="9"/>
      <c r="X31" s="9"/>
      <c r="Y31" s="9"/>
      <c r="Z31" s="9"/>
      <c r="AA31" s="10"/>
      <c r="AB31" s="10"/>
      <c r="AC31" s="10"/>
      <c r="AD31" s="10"/>
      <c r="AE31" s="10"/>
    </row>
    <row r="32" spans="1:31" ht="24.95" customHeight="1" x14ac:dyDescent="0.25">
      <c r="A32" s="39">
        <v>29</v>
      </c>
      <c r="B32" s="38" t="s">
        <v>108</v>
      </c>
      <c r="C32" s="38" t="s">
        <v>108</v>
      </c>
      <c r="D32" s="38" t="s">
        <v>109</v>
      </c>
      <c r="E32" s="38" t="s">
        <v>60</v>
      </c>
      <c r="F32" s="39">
        <v>1</v>
      </c>
      <c r="G32" s="40" t="s">
        <v>579</v>
      </c>
      <c r="H32" s="40" t="s">
        <v>579</v>
      </c>
      <c r="I32" s="40" t="s">
        <v>579</v>
      </c>
      <c r="J32" s="41"/>
      <c r="K32" s="40" t="s">
        <v>615</v>
      </c>
      <c r="L32" s="40" t="s">
        <v>587</v>
      </c>
      <c r="M32" s="40" t="s">
        <v>582</v>
      </c>
      <c r="N32" s="42" t="s">
        <v>616</v>
      </c>
      <c r="O32" s="43" t="s">
        <v>771</v>
      </c>
      <c r="P32" s="43" t="s">
        <v>897</v>
      </c>
      <c r="Q32" s="43"/>
      <c r="R32" s="44"/>
      <c r="S32" s="45"/>
      <c r="T32" s="9"/>
      <c r="U32" s="9"/>
      <c r="V32" s="9"/>
      <c r="W32" s="9"/>
      <c r="X32" s="9"/>
      <c r="Y32" s="9"/>
      <c r="Z32" s="9"/>
      <c r="AA32" s="10"/>
      <c r="AB32" s="10"/>
      <c r="AC32" s="10"/>
      <c r="AD32" s="10"/>
      <c r="AE32" s="10"/>
    </row>
    <row r="33" spans="1:31" ht="24.95" customHeight="1" x14ac:dyDescent="0.25">
      <c r="A33" s="39">
        <v>30</v>
      </c>
      <c r="B33" s="38" t="s">
        <v>110</v>
      </c>
      <c r="C33" s="38" t="s">
        <v>111</v>
      </c>
      <c r="D33" s="38" t="s">
        <v>112</v>
      </c>
      <c r="E33" s="38" t="s">
        <v>60</v>
      </c>
      <c r="F33" s="39">
        <v>0</v>
      </c>
      <c r="G33" s="40" t="s">
        <v>585</v>
      </c>
      <c r="H33" s="40" t="s">
        <v>585</v>
      </c>
      <c r="I33" s="40" t="s">
        <v>585</v>
      </c>
      <c r="J33" s="41">
        <v>1</v>
      </c>
      <c r="K33" s="40" t="s">
        <v>617</v>
      </c>
      <c r="L33" s="40" t="s">
        <v>587</v>
      </c>
      <c r="M33" s="40" t="s">
        <v>582</v>
      </c>
      <c r="N33" s="42" t="s">
        <v>618</v>
      </c>
      <c r="O33" s="43" t="s">
        <v>771</v>
      </c>
      <c r="P33" s="43" t="s">
        <v>897</v>
      </c>
      <c r="Q33" s="43"/>
      <c r="R33" s="44"/>
      <c r="S33" s="45"/>
      <c r="T33" s="9"/>
      <c r="U33" s="9"/>
      <c r="V33" s="9"/>
      <c r="W33" s="9"/>
      <c r="X33" s="9"/>
      <c r="Y33" s="9"/>
      <c r="Z33" s="9"/>
      <c r="AA33" s="10"/>
      <c r="AB33" s="10"/>
      <c r="AC33" s="10"/>
      <c r="AD33" s="10"/>
      <c r="AE33" s="10"/>
    </row>
    <row r="34" spans="1:31" ht="24.95" customHeight="1" x14ac:dyDescent="0.25">
      <c r="A34" s="39">
        <v>31</v>
      </c>
      <c r="B34" s="38" t="s">
        <v>113</v>
      </c>
      <c r="C34" s="38" t="s">
        <v>114</v>
      </c>
      <c r="D34" s="38" t="s">
        <v>115</v>
      </c>
      <c r="E34" s="38" t="s">
        <v>60</v>
      </c>
      <c r="F34" s="39">
        <v>1</v>
      </c>
      <c r="G34" s="40" t="s">
        <v>585</v>
      </c>
      <c r="H34" s="40" t="s">
        <v>585</v>
      </c>
      <c r="I34" s="40" t="s">
        <v>585</v>
      </c>
      <c r="J34" s="41">
        <v>1</v>
      </c>
      <c r="K34" s="40" t="s">
        <v>600</v>
      </c>
      <c r="L34" s="40" t="s">
        <v>587</v>
      </c>
      <c r="M34" s="40" t="s">
        <v>593</v>
      </c>
      <c r="N34" s="42"/>
      <c r="O34" s="43" t="s">
        <v>771</v>
      </c>
      <c r="P34" s="43"/>
      <c r="Q34" s="43"/>
      <c r="R34" s="44"/>
      <c r="S34" s="45"/>
      <c r="T34" s="9"/>
      <c r="U34" s="9"/>
      <c r="V34" s="9"/>
      <c r="W34" s="9"/>
      <c r="X34" s="9"/>
      <c r="Y34" s="9"/>
      <c r="Z34" s="9"/>
      <c r="AA34" s="10"/>
      <c r="AB34" s="10"/>
      <c r="AC34" s="10"/>
      <c r="AD34" s="10"/>
      <c r="AE34" s="10"/>
    </row>
    <row r="35" spans="1:31" ht="24.95" customHeight="1" x14ac:dyDescent="0.25">
      <c r="A35" s="39">
        <v>32</v>
      </c>
      <c r="B35" s="38" t="s">
        <v>619</v>
      </c>
      <c r="C35" s="38" t="s">
        <v>117</v>
      </c>
      <c r="D35" s="38" t="s">
        <v>118</v>
      </c>
      <c r="E35" s="38" t="s">
        <v>60</v>
      </c>
      <c r="F35" s="39">
        <v>1</v>
      </c>
      <c r="G35" s="40" t="s">
        <v>585</v>
      </c>
      <c r="H35" s="40" t="s">
        <v>585</v>
      </c>
      <c r="I35" s="40" t="s">
        <v>585</v>
      </c>
      <c r="J35" s="41">
        <v>1</v>
      </c>
      <c r="K35" s="40" t="s">
        <v>600</v>
      </c>
      <c r="L35" s="40" t="s">
        <v>587</v>
      </c>
      <c r="M35" s="40" t="s">
        <v>593</v>
      </c>
      <c r="N35" s="42"/>
      <c r="O35" s="43" t="s">
        <v>771</v>
      </c>
      <c r="P35" s="43"/>
      <c r="Q35" s="43"/>
      <c r="R35" s="44"/>
      <c r="S35" s="45"/>
      <c r="T35" s="9"/>
      <c r="U35" s="9"/>
      <c r="V35" s="9"/>
      <c r="W35" s="9"/>
      <c r="X35" s="9"/>
      <c r="Y35" s="9"/>
      <c r="Z35" s="9"/>
      <c r="AA35" s="10"/>
      <c r="AB35" s="10"/>
      <c r="AC35" s="10"/>
      <c r="AD35" s="10"/>
      <c r="AE35" s="10"/>
    </row>
    <row r="36" spans="1:31" ht="24.95" customHeight="1" x14ac:dyDescent="0.25">
      <c r="A36" s="39">
        <v>33</v>
      </c>
      <c r="B36" s="38" t="s">
        <v>119</v>
      </c>
      <c r="C36" s="38" t="s">
        <v>120</v>
      </c>
      <c r="D36" s="38" t="s">
        <v>121</v>
      </c>
      <c r="E36" s="38" t="s">
        <v>122</v>
      </c>
      <c r="F36" s="39">
        <v>1</v>
      </c>
      <c r="G36" s="40" t="s">
        <v>620</v>
      </c>
      <c r="H36" s="40" t="s">
        <v>621</v>
      </c>
      <c r="I36" s="40" t="s">
        <v>621</v>
      </c>
      <c r="J36" s="41"/>
      <c r="K36" s="40" t="s">
        <v>621</v>
      </c>
      <c r="L36" s="40" t="s">
        <v>587</v>
      </c>
      <c r="M36" s="40" t="s">
        <v>582</v>
      </c>
      <c r="N36" s="42" t="s">
        <v>622</v>
      </c>
      <c r="O36" s="43" t="s">
        <v>771</v>
      </c>
      <c r="P36" s="43" t="s">
        <v>893</v>
      </c>
      <c r="Q36" s="43"/>
      <c r="R36" s="44"/>
      <c r="S36" s="45" t="s">
        <v>900</v>
      </c>
      <c r="T36" s="9"/>
      <c r="U36" s="9"/>
      <c r="V36" s="9"/>
      <c r="W36" s="9"/>
      <c r="X36" s="9"/>
      <c r="Y36" s="9"/>
      <c r="Z36" s="9"/>
      <c r="AA36" s="10"/>
      <c r="AB36" s="10"/>
      <c r="AC36" s="10"/>
      <c r="AD36" s="10"/>
      <c r="AE36" s="10"/>
    </row>
    <row r="37" spans="1:31" ht="24.95" customHeight="1" x14ac:dyDescent="0.25">
      <c r="A37" s="39">
        <v>35</v>
      </c>
      <c r="B37" s="38" t="s">
        <v>126</v>
      </c>
      <c r="C37" s="38" t="s">
        <v>127</v>
      </c>
      <c r="D37" s="38" t="s">
        <v>128</v>
      </c>
      <c r="E37" s="38" t="s">
        <v>129</v>
      </c>
      <c r="F37" s="39">
        <v>0</v>
      </c>
      <c r="G37" s="40" t="s">
        <v>623</v>
      </c>
      <c r="H37" s="40" t="s">
        <v>623</v>
      </c>
      <c r="I37" s="40" t="s">
        <v>623</v>
      </c>
      <c r="J37" s="41">
        <v>1</v>
      </c>
      <c r="K37" s="40" t="s">
        <v>624</v>
      </c>
      <c r="L37" s="40" t="s">
        <v>587</v>
      </c>
      <c r="M37" s="40" t="s">
        <v>582</v>
      </c>
      <c r="N37" s="42" t="s">
        <v>625</v>
      </c>
      <c r="O37" s="43" t="s">
        <v>771</v>
      </c>
      <c r="P37" s="43" t="s">
        <v>893</v>
      </c>
      <c r="Q37" s="43"/>
      <c r="R37" s="44"/>
      <c r="S37" s="45" t="s">
        <v>901</v>
      </c>
      <c r="T37" s="9"/>
      <c r="U37" s="9"/>
      <c r="V37" s="9"/>
      <c r="W37" s="9"/>
      <c r="X37" s="9"/>
      <c r="Y37" s="9"/>
      <c r="Z37" s="9"/>
      <c r="AA37" s="10"/>
      <c r="AB37" s="10"/>
      <c r="AC37" s="10"/>
      <c r="AD37" s="10"/>
      <c r="AE37" s="10"/>
    </row>
    <row r="38" spans="1:31" ht="24.95" customHeight="1" x14ac:dyDescent="0.25">
      <c r="A38" s="39">
        <v>38</v>
      </c>
      <c r="B38" s="38" t="s">
        <v>135</v>
      </c>
      <c r="C38" s="38" t="s">
        <v>136</v>
      </c>
      <c r="D38" s="38" t="s">
        <v>137</v>
      </c>
      <c r="E38" s="38" t="s">
        <v>132</v>
      </c>
      <c r="F38" s="39">
        <v>1</v>
      </c>
      <c r="G38" s="40" t="s">
        <v>621</v>
      </c>
      <c r="H38" s="40" t="s">
        <v>621</v>
      </c>
      <c r="I38" s="40" t="s">
        <v>621</v>
      </c>
      <c r="J38" s="41">
        <v>1</v>
      </c>
      <c r="K38" s="40" t="s">
        <v>621</v>
      </c>
      <c r="L38" s="40" t="s">
        <v>587</v>
      </c>
      <c r="M38" s="40" t="s">
        <v>593</v>
      </c>
      <c r="N38" s="42" t="s">
        <v>626</v>
      </c>
      <c r="O38" s="43" t="s">
        <v>771</v>
      </c>
      <c r="P38" s="43"/>
      <c r="Q38" s="43"/>
      <c r="R38" s="44"/>
      <c r="S38" s="45"/>
      <c r="T38" s="9"/>
      <c r="U38" s="9"/>
      <c r="V38" s="9"/>
      <c r="W38" s="9"/>
      <c r="X38" s="9"/>
      <c r="Y38" s="9"/>
      <c r="Z38" s="9"/>
      <c r="AA38" s="10"/>
      <c r="AB38" s="10"/>
      <c r="AC38" s="10"/>
      <c r="AD38" s="10"/>
      <c r="AE38" s="10"/>
    </row>
    <row r="39" spans="1:31" ht="24.95" customHeight="1" x14ac:dyDescent="0.25">
      <c r="A39" s="39">
        <v>39</v>
      </c>
      <c r="B39" s="38" t="s">
        <v>138</v>
      </c>
      <c r="C39" s="38" t="s">
        <v>627</v>
      </c>
      <c r="D39" s="38" t="s">
        <v>140</v>
      </c>
      <c r="E39" s="38" t="s">
        <v>132</v>
      </c>
      <c r="F39" s="39">
        <v>1</v>
      </c>
      <c r="G39" s="40" t="s">
        <v>621</v>
      </c>
      <c r="H39" s="40" t="s">
        <v>621</v>
      </c>
      <c r="I39" s="40" t="s">
        <v>621</v>
      </c>
      <c r="J39" s="41">
        <v>1</v>
      </c>
      <c r="K39" s="40" t="s">
        <v>621</v>
      </c>
      <c r="L39" s="40" t="s">
        <v>587</v>
      </c>
      <c r="M39" s="40" t="s">
        <v>593</v>
      </c>
      <c r="N39" s="42" t="s">
        <v>626</v>
      </c>
      <c r="O39" s="43" t="s">
        <v>771</v>
      </c>
      <c r="P39" s="43"/>
      <c r="Q39" s="43"/>
      <c r="R39" s="44"/>
      <c r="S39" s="45"/>
      <c r="T39" s="9"/>
      <c r="U39" s="9"/>
      <c r="V39" s="9"/>
      <c r="W39" s="9"/>
      <c r="X39" s="9"/>
      <c r="Y39" s="9"/>
      <c r="Z39" s="9"/>
      <c r="AA39" s="10"/>
      <c r="AB39" s="10"/>
      <c r="AC39" s="10"/>
      <c r="AD39" s="10"/>
      <c r="AE39" s="10"/>
    </row>
    <row r="40" spans="1:31" ht="24.95" customHeight="1" x14ac:dyDescent="0.25">
      <c r="A40" s="39">
        <v>40</v>
      </c>
      <c r="B40" s="38" t="s">
        <v>141</v>
      </c>
      <c r="C40" s="38" t="s">
        <v>628</v>
      </c>
      <c r="D40" s="38" t="s">
        <v>143</v>
      </c>
      <c r="E40" s="38" t="s">
        <v>132</v>
      </c>
      <c r="F40" s="39">
        <v>1</v>
      </c>
      <c r="G40" s="40" t="s">
        <v>621</v>
      </c>
      <c r="H40" s="40" t="s">
        <v>621</v>
      </c>
      <c r="I40" s="40" t="s">
        <v>621</v>
      </c>
      <c r="J40" s="41">
        <v>1</v>
      </c>
      <c r="K40" s="40" t="s">
        <v>621</v>
      </c>
      <c r="L40" s="40" t="s">
        <v>587</v>
      </c>
      <c r="M40" s="40" t="s">
        <v>593</v>
      </c>
      <c r="N40" s="42" t="s">
        <v>626</v>
      </c>
      <c r="O40" s="43" t="s">
        <v>771</v>
      </c>
      <c r="P40" s="43"/>
      <c r="Q40" s="43"/>
      <c r="R40" s="44"/>
      <c r="S40" s="45"/>
      <c r="T40" s="9"/>
      <c r="U40" s="9"/>
      <c r="V40" s="9"/>
      <c r="W40" s="9"/>
      <c r="X40" s="9"/>
      <c r="Y40" s="9"/>
      <c r="Z40" s="9"/>
      <c r="AA40" s="10"/>
      <c r="AB40" s="10"/>
      <c r="AC40" s="10"/>
      <c r="AD40" s="10"/>
      <c r="AE40" s="10"/>
    </row>
    <row r="41" spans="1:31" ht="24.95" customHeight="1" x14ac:dyDescent="0.25">
      <c r="A41" s="39">
        <v>41</v>
      </c>
      <c r="B41" s="38" t="s">
        <v>144</v>
      </c>
      <c r="C41" s="38" t="s">
        <v>145</v>
      </c>
      <c r="D41" s="38" t="s">
        <v>95</v>
      </c>
      <c r="E41" s="38" t="s">
        <v>132</v>
      </c>
      <c r="F41" s="39">
        <v>1</v>
      </c>
      <c r="G41" s="40" t="s">
        <v>621</v>
      </c>
      <c r="H41" s="40" t="s">
        <v>629</v>
      </c>
      <c r="I41" s="40" t="s">
        <v>629</v>
      </c>
      <c r="J41" s="41"/>
      <c r="K41" s="40" t="s">
        <v>630</v>
      </c>
      <c r="L41" s="40" t="s">
        <v>587</v>
      </c>
      <c r="M41" s="40" t="s">
        <v>582</v>
      </c>
      <c r="N41" s="42" t="s">
        <v>631</v>
      </c>
      <c r="O41" s="43" t="s">
        <v>771</v>
      </c>
      <c r="P41" s="43"/>
      <c r="Q41" s="43"/>
      <c r="R41" s="44"/>
      <c r="S41" s="45" t="s">
        <v>902</v>
      </c>
      <c r="T41" s="9"/>
      <c r="U41" s="9"/>
      <c r="V41" s="9"/>
      <c r="W41" s="9"/>
      <c r="X41" s="9"/>
      <c r="Y41" s="9"/>
      <c r="Z41" s="9"/>
      <c r="AA41" s="10"/>
      <c r="AB41" s="10"/>
      <c r="AC41" s="10"/>
      <c r="AD41" s="10"/>
      <c r="AE41" s="10"/>
    </row>
    <row r="42" spans="1:31" ht="24.95" customHeight="1" x14ac:dyDescent="0.25">
      <c r="A42" s="39">
        <v>42</v>
      </c>
      <c r="B42" s="38" t="s">
        <v>146</v>
      </c>
      <c r="C42" s="38" t="s">
        <v>147</v>
      </c>
      <c r="D42" s="38" t="s">
        <v>632</v>
      </c>
      <c r="E42" s="38" t="s">
        <v>132</v>
      </c>
      <c r="F42" s="39">
        <v>1</v>
      </c>
      <c r="G42" s="40" t="s">
        <v>621</v>
      </c>
      <c r="H42" s="40" t="s">
        <v>629</v>
      </c>
      <c r="I42" s="40" t="s">
        <v>629</v>
      </c>
      <c r="J42" s="41"/>
      <c r="K42" s="40" t="s">
        <v>630</v>
      </c>
      <c r="L42" s="40" t="s">
        <v>587</v>
      </c>
      <c r="M42" s="40" t="s">
        <v>582</v>
      </c>
      <c r="N42" s="42" t="s">
        <v>633</v>
      </c>
      <c r="O42" s="43" t="s">
        <v>771</v>
      </c>
      <c r="P42" s="43"/>
      <c r="Q42" s="43"/>
      <c r="R42" s="44"/>
      <c r="S42" s="45" t="s">
        <v>902</v>
      </c>
      <c r="T42" s="9"/>
      <c r="U42" s="9"/>
      <c r="V42" s="9"/>
      <c r="W42" s="9"/>
      <c r="X42" s="9"/>
      <c r="Y42" s="9"/>
      <c r="Z42" s="9"/>
      <c r="AA42" s="10"/>
      <c r="AB42" s="10"/>
      <c r="AC42" s="10"/>
      <c r="AD42" s="10"/>
      <c r="AE42" s="10"/>
    </row>
    <row r="43" spans="1:31" ht="24.95" customHeight="1" x14ac:dyDescent="0.25">
      <c r="A43" s="39">
        <v>43</v>
      </c>
      <c r="B43" s="38" t="s">
        <v>149</v>
      </c>
      <c r="C43" s="38" t="s">
        <v>150</v>
      </c>
      <c r="D43" s="38" t="s">
        <v>151</v>
      </c>
      <c r="E43" s="38" t="s">
        <v>132</v>
      </c>
      <c r="F43" s="39">
        <v>1</v>
      </c>
      <c r="G43" s="40" t="s">
        <v>621</v>
      </c>
      <c r="H43" s="40" t="s">
        <v>621</v>
      </c>
      <c r="I43" s="40" t="s">
        <v>621</v>
      </c>
      <c r="J43" s="41">
        <v>1</v>
      </c>
      <c r="K43" s="40" t="s">
        <v>621</v>
      </c>
      <c r="L43" s="40" t="s">
        <v>587</v>
      </c>
      <c r="M43" s="40" t="s">
        <v>593</v>
      </c>
      <c r="N43" s="42" t="s">
        <v>626</v>
      </c>
      <c r="O43" s="43" t="s">
        <v>771</v>
      </c>
      <c r="P43" s="43"/>
      <c r="Q43" s="43"/>
      <c r="R43" s="44"/>
      <c r="S43" s="45"/>
      <c r="T43" s="11" t="s">
        <v>609</v>
      </c>
      <c r="U43" s="9" t="s">
        <v>634</v>
      </c>
      <c r="V43" s="9">
        <v>3</v>
      </c>
      <c r="W43" s="9" t="s">
        <v>620</v>
      </c>
      <c r="X43" s="11" t="s">
        <v>635</v>
      </c>
      <c r="Y43" s="12" t="s">
        <v>636</v>
      </c>
      <c r="Z43" s="12" t="s">
        <v>637</v>
      </c>
      <c r="AA43" s="10"/>
      <c r="AB43" s="10"/>
      <c r="AC43" s="10"/>
      <c r="AD43" s="10"/>
      <c r="AE43" s="10" t="s">
        <v>584</v>
      </c>
    </row>
    <row r="44" spans="1:31" ht="24.95" customHeight="1" x14ac:dyDescent="0.25">
      <c r="A44" s="39">
        <v>44</v>
      </c>
      <c r="B44" s="38" t="s">
        <v>152</v>
      </c>
      <c r="C44" s="38" t="s">
        <v>350</v>
      </c>
      <c r="D44" s="38" t="s">
        <v>154</v>
      </c>
      <c r="E44" s="38" t="s">
        <v>132</v>
      </c>
      <c r="F44" s="39">
        <v>1</v>
      </c>
      <c r="G44" s="40" t="s">
        <v>621</v>
      </c>
      <c r="H44" s="40" t="s">
        <v>621</v>
      </c>
      <c r="I44" s="40" t="s">
        <v>621</v>
      </c>
      <c r="J44" s="41">
        <v>1</v>
      </c>
      <c r="K44" s="40" t="s">
        <v>621</v>
      </c>
      <c r="L44" s="40" t="s">
        <v>587</v>
      </c>
      <c r="M44" s="40" t="s">
        <v>593</v>
      </c>
      <c r="N44" s="42" t="s">
        <v>626</v>
      </c>
      <c r="O44" s="43" t="s">
        <v>771</v>
      </c>
      <c r="P44" s="43"/>
      <c r="Q44" s="43"/>
      <c r="R44" s="44"/>
      <c r="S44" s="45"/>
      <c r="T44" s="11" t="s">
        <v>604</v>
      </c>
      <c r="U44" s="9"/>
      <c r="V44" s="9"/>
      <c r="W44" s="9"/>
      <c r="X44" s="9"/>
      <c r="Y44" s="12" t="s">
        <v>638</v>
      </c>
      <c r="Z44" s="12" t="s">
        <v>606</v>
      </c>
      <c r="AA44" s="10"/>
      <c r="AB44" s="10"/>
      <c r="AC44" s="10"/>
      <c r="AD44" s="10"/>
      <c r="AE44" s="10"/>
    </row>
    <row r="45" spans="1:31" ht="24.95" customHeight="1" x14ac:dyDescent="0.25">
      <c r="A45" s="39">
        <v>45</v>
      </c>
      <c r="B45" s="38" t="s">
        <v>155</v>
      </c>
      <c r="C45" s="38" t="s">
        <v>156</v>
      </c>
      <c r="D45" s="38" t="s">
        <v>157</v>
      </c>
      <c r="E45" s="38" t="s">
        <v>132</v>
      </c>
      <c r="F45" s="39">
        <v>1</v>
      </c>
      <c r="G45" s="40" t="s">
        <v>621</v>
      </c>
      <c r="H45" s="40" t="s">
        <v>621</v>
      </c>
      <c r="I45" s="40" t="s">
        <v>621</v>
      </c>
      <c r="J45" s="41">
        <v>1</v>
      </c>
      <c r="K45" s="40" t="s">
        <v>621</v>
      </c>
      <c r="L45" s="40" t="s">
        <v>587</v>
      </c>
      <c r="M45" s="40" t="s">
        <v>593</v>
      </c>
      <c r="N45" s="42" t="s">
        <v>626</v>
      </c>
      <c r="O45" s="43" t="s">
        <v>771</v>
      </c>
      <c r="P45" s="43"/>
      <c r="Q45" s="43"/>
      <c r="R45" s="44"/>
      <c r="S45" s="45"/>
      <c r="T45" s="9"/>
      <c r="U45" s="9"/>
      <c r="V45" s="9"/>
      <c r="W45" s="9"/>
      <c r="X45" s="9"/>
      <c r="Y45" s="9"/>
      <c r="Z45" s="9"/>
      <c r="AA45" s="10"/>
      <c r="AB45" s="10"/>
      <c r="AC45" s="10"/>
      <c r="AD45" s="10"/>
      <c r="AE45" s="10"/>
    </row>
    <row r="46" spans="1:31" ht="24.95" customHeight="1" x14ac:dyDescent="0.25">
      <c r="A46" s="39">
        <v>46</v>
      </c>
      <c r="B46" s="38" t="s">
        <v>158</v>
      </c>
      <c r="C46" s="38" t="s">
        <v>159</v>
      </c>
      <c r="D46" s="38" t="s">
        <v>160</v>
      </c>
      <c r="E46" s="38" t="s">
        <v>132</v>
      </c>
      <c r="F46" s="39">
        <v>1</v>
      </c>
      <c r="G46" s="40" t="s">
        <v>621</v>
      </c>
      <c r="H46" s="40" t="s">
        <v>621</v>
      </c>
      <c r="I46" s="40" t="s">
        <v>621</v>
      </c>
      <c r="J46" s="41">
        <v>1</v>
      </c>
      <c r="K46" s="40" t="s">
        <v>621</v>
      </c>
      <c r="L46" s="40" t="s">
        <v>587</v>
      </c>
      <c r="M46" s="40" t="s">
        <v>593</v>
      </c>
      <c r="N46" s="42" t="s">
        <v>626</v>
      </c>
      <c r="O46" s="43" t="s">
        <v>771</v>
      </c>
      <c r="P46" s="43"/>
      <c r="Q46" s="43"/>
      <c r="R46" s="44"/>
      <c r="S46" s="45"/>
      <c r="T46" s="11" t="s">
        <v>609</v>
      </c>
      <c r="U46" s="9" t="s">
        <v>639</v>
      </c>
      <c r="V46" s="9">
        <v>1</v>
      </c>
      <c r="W46" s="9" t="s">
        <v>620</v>
      </c>
      <c r="X46" s="11" t="s">
        <v>640</v>
      </c>
      <c r="Y46" s="12" t="s">
        <v>641</v>
      </c>
      <c r="Z46" s="12" t="s">
        <v>642</v>
      </c>
      <c r="AA46" s="10"/>
      <c r="AB46" s="10"/>
      <c r="AC46" s="10"/>
      <c r="AD46" s="10"/>
      <c r="AE46" s="10" t="s">
        <v>584</v>
      </c>
    </row>
    <row r="47" spans="1:31" ht="24.95" customHeight="1" x14ac:dyDescent="0.25">
      <c r="A47" s="39">
        <v>47</v>
      </c>
      <c r="B47" s="38" t="s">
        <v>161</v>
      </c>
      <c r="C47" s="38" t="s">
        <v>643</v>
      </c>
      <c r="D47" s="38" t="s">
        <v>163</v>
      </c>
      <c r="E47" s="38" t="s">
        <v>132</v>
      </c>
      <c r="F47" s="39">
        <v>1</v>
      </c>
      <c r="G47" s="40" t="s">
        <v>621</v>
      </c>
      <c r="H47" s="40" t="s">
        <v>621</v>
      </c>
      <c r="I47" s="40" t="s">
        <v>621</v>
      </c>
      <c r="J47" s="41">
        <v>1</v>
      </c>
      <c r="K47" s="40" t="s">
        <v>621</v>
      </c>
      <c r="L47" s="40" t="s">
        <v>587</v>
      </c>
      <c r="M47" s="40" t="s">
        <v>593</v>
      </c>
      <c r="N47" s="42" t="s">
        <v>626</v>
      </c>
      <c r="O47" s="43" t="s">
        <v>771</v>
      </c>
      <c r="P47" s="43"/>
      <c r="Q47" s="43"/>
      <c r="R47" s="44"/>
      <c r="S47" s="45"/>
      <c r="T47" s="9"/>
      <c r="U47" s="9"/>
      <c r="V47" s="9"/>
      <c r="W47" s="9"/>
      <c r="X47" s="9"/>
      <c r="Y47" s="9"/>
      <c r="Z47" s="9"/>
      <c r="AA47" s="10"/>
      <c r="AB47" s="10"/>
      <c r="AC47" s="10"/>
      <c r="AD47" s="10"/>
      <c r="AE47" s="10"/>
    </row>
    <row r="48" spans="1:31" ht="24.95" customHeight="1" x14ac:dyDescent="0.25">
      <c r="A48" s="39">
        <v>49</v>
      </c>
      <c r="B48" s="38" t="s">
        <v>166</v>
      </c>
      <c r="C48" s="38" t="s">
        <v>644</v>
      </c>
      <c r="D48" s="38" t="s">
        <v>163</v>
      </c>
      <c r="E48" s="38" t="s">
        <v>132</v>
      </c>
      <c r="F48" s="39">
        <v>1</v>
      </c>
      <c r="G48" s="40" t="s">
        <v>621</v>
      </c>
      <c r="H48" s="40" t="s">
        <v>621</v>
      </c>
      <c r="I48" s="40" t="s">
        <v>621</v>
      </c>
      <c r="J48" s="41">
        <v>1</v>
      </c>
      <c r="K48" s="40" t="s">
        <v>621</v>
      </c>
      <c r="L48" s="40" t="s">
        <v>587</v>
      </c>
      <c r="M48" s="40" t="s">
        <v>593</v>
      </c>
      <c r="N48" s="42" t="s">
        <v>626</v>
      </c>
      <c r="O48" s="43" t="s">
        <v>771</v>
      </c>
      <c r="P48" s="43"/>
      <c r="Q48" s="43"/>
      <c r="R48" s="44"/>
      <c r="S48" s="45"/>
      <c r="T48" s="9"/>
      <c r="U48" s="9"/>
      <c r="V48" s="9"/>
      <c r="W48" s="9"/>
      <c r="X48" s="9"/>
      <c r="Y48" s="9"/>
      <c r="Z48" s="9"/>
      <c r="AA48" s="10"/>
      <c r="AB48" s="10"/>
      <c r="AC48" s="10"/>
      <c r="AD48" s="10"/>
      <c r="AE48" s="10"/>
    </row>
    <row r="49" spans="1:31" ht="24.95" customHeight="1" x14ac:dyDescent="0.25">
      <c r="A49" s="39">
        <v>50</v>
      </c>
      <c r="B49" s="38" t="s">
        <v>169</v>
      </c>
      <c r="C49" s="38" t="s">
        <v>645</v>
      </c>
      <c r="D49" s="38" t="s">
        <v>171</v>
      </c>
      <c r="E49" s="38" t="s">
        <v>132</v>
      </c>
      <c r="F49" s="39">
        <v>1</v>
      </c>
      <c r="G49" s="40" t="s">
        <v>621</v>
      </c>
      <c r="H49" s="40" t="s">
        <v>621</v>
      </c>
      <c r="I49" s="40" t="s">
        <v>621</v>
      </c>
      <c r="J49" s="41">
        <v>1</v>
      </c>
      <c r="K49" s="40" t="s">
        <v>621</v>
      </c>
      <c r="L49" s="40" t="s">
        <v>587</v>
      </c>
      <c r="M49" s="40" t="s">
        <v>593</v>
      </c>
      <c r="N49" s="42" t="s">
        <v>626</v>
      </c>
      <c r="O49" s="43" t="s">
        <v>771</v>
      </c>
      <c r="P49" s="43"/>
      <c r="Q49" s="43"/>
      <c r="R49" s="44"/>
      <c r="S49" s="45"/>
      <c r="T49" s="9"/>
      <c r="U49" s="9"/>
      <c r="V49" s="9"/>
      <c r="W49" s="9"/>
      <c r="X49" s="9"/>
      <c r="Y49" s="9"/>
      <c r="Z49" s="9"/>
      <c r="AA49" s="10"/>
      <c r="AB49" s="10"/>
      <c r="AC49" s="10"/>
      <c r="AD49" s="10"/>
      <c r="AE49" s="10"/>
    </row>
    <row r="50" spans="1:31" ht="24.95" customHeight="1" x14ac:dyDescent="0.25">
      <c r="A50" s="39">
        <v>51</v>
      </c>
      <c r="B50" s="38" t="s">
        <v>172</v>
      </c>
      <c r="C50" s="38" t="s">
        <v>173</v>
      </c>
      <c r="D50" s="38" t="s">
        <v>174</v>
      </c>
      <c r="E50" s="38" t="s">
        <v>132</v>
      </c>
      <c r="F50" s="39">
        <v>1</v>
      </c>
      <c r="G50" s="40" t="s">
        <v>589</v>
      </c>
      <c r="H50" s="40" t="s">
        <v>589</v>
      </c>
      <c r="I50" s="40" t="s">
        <v>589</v>
      </c>
      <c r="J50" s="41">
        <v>1</v>
      </c>
      <c r="K50" s="40" t="s">
        <v>590</v>
      </c>
      <c r="L50" s="40" t="s">
        <v>587</v>
      </c>
      <c r="M50" s="40" t="s">
        <v>582</v>
      </c>
      <c r="N50" s="42" t="s">
        <v>646</v>
      </c>
      <c r="O50" s="43" t="s">
        <v>772</v>
      </c>
      <c r="P50" s="43" t="s">
        <v>896</v>
      </c>
      <c r="Q50" s="43"/>
      <c r="R50" s="44"/>
      <c r="S50" s="45"/>
      <c r="T50" s="9"/>
      <c r="U50" s="9"/>
      <c r="V50" s="9"/>
      <c r="W50" s="9"/>
      <c r="X50" s="9"/>
      <c r="Y50" s="9"/>
      <c r="Z50" s="9"/>
      <c r="AA50" s="10"/>
      <c r="AB50" s="10"/>
      <c r="AC50" s="10"/>
      <c r="AD50" s="10"/>
      <c r="AE50" s="10"/>
    </row>
    <row r="51" spans="1:31" ht="24.95" customHeight="1" x14ac:dyDescent="0.25">
      <c r="A51" s="39">
        <v>52</v>
      </c>
      <c r="B51" s="38" t="s">
        <v>175</v>
      </c>
      <c r="C51" s="38" t="s">
        <v>176</v>
      </c>
      <c r="D51" s="38" t="s">
        <v>177</v>
      </c>
      <c r="E51" s="38" t="s">
        <v>132</v>
      </c>
      <c r="F51" s="39">
        <v>1</v>
      </c>
      <c r="G51" s="40" t="s">
        <v>621</v>
      </c>
      <c r="H51" s="40" t="s">
        <v>621</v>
      </c>
      <c r="I51" s="40" t="s">
        <v>621</v>
      </c>
      <c r="J51" s="41"/>
      <c r="K51" s="40" t="s">
        <v>621</v>
      </c>
      <c r="L51" s="40" t="s">
        <v>587</v>
      </c>
      <c r="M51" s="40" t="s">
        <v>582</v>
      </c>
      <c r="N51" s="42" t="s">
        <v>647</v>
      </c>
      <c r="O51" s="43" t="s">
        <v>772</v>
      </c>
      <c r="P51" s="43"/>
      <c r="Q51" s="43"/>
      <c r="R51" s="44"/>
      <c r="S51" s="45" t="s">
        <v>904</v>
      </c>
      <c r="T51" s="11" t="s">
        <v>609</v>
      </c>
      <c r="U51" s="9" t="s">
        <v>648</v>
      </c>
      <c r="V51" s="9">
        <v>1</v>
      </c>
      <c r="W51" s="9" t="s">
        <v>620</v>
      </c>
      <c r="X51" s="11" t="s">
        <v>640</v>
      </c>
      <c r="Y51" s="12" t="s">
        <v>649</v>
      </c>
      <c r="Z51" s="12" t="s">
        <v>650</v>
      </c>
      <c r="AA51" s="10"/>
      <c r="AB51" s="10"/>
      <c r="AC51" s="10"/>
      <c r="AD51" s="10"/>
      <c r="AE51" s="10" t="s">
        <v>584</v>
      </c>
    </row>
    <row r="52" spans="1:31" ht="24.95" customHeight="1" x14ac:dyDescent="0.25">
      <c r="A52" s="39">
        <v>53</v>
      </c>
      <c r="B52" s="38" t="s">
        <v>178</v>
      </c>
      <c r="C52" s="38" t="s">
        <v>651</v>
      </c>
      <c r="D52" s="38" t="s">
        <v>180</v>
      </c>
      <c r="E52" s="38" t="s">
        <v>132</v>
      </c>
      <c r="F52" s="39">
        <v>1</v>
      </c>
      <c r="G52" s="40" t="s">
        <v>621</v>
      </c>
      <c r="H52" s="40" t="s">
        <v>629</v>
      </c>
      <c r="I52" s="40" t="s">
        <v>629</v>
      </c>
      <c r="J52" s="41"/>
      <c r="K52" s="40" t="s">
        <v>630</v>
      </c>
      <c r="L52" s="40" t="s">
        <v>587</v>
      </c>
      <c r="M52" s="40" t="s">
        <v>582</v>
      </c>
      <c r="N52" s="42" t="s">
        <v>652</v>
      </c>
      <c r="O52" s="43" t="s">
        <v>771</v>
      </c>
      <c r="P52" s="43"/>
      <c r="Q52" s="43"/>
      <c r="R52" s="44"/>
      <c r="S52" s="45" t="s">
        <v>902</v>
      </c>
      <c r="T52" s="9"/>
      <c r="U52" s="9"/>
      <c r="V52" s="9"/>
      <c r="W52" s="9"/>
      <c r="X52" s="9"/>
      <c r="Y52" s="9"/>
      <c r="Z52" s="9"/>
      <c r="AA52" s="10"/>
      <c r="AB52" s="10"/>
      <c r="AC52" s="10"/>
      <c r="AD52" s="10"/>
      <c r="AE52" s="10"/>
    </row>
    <row r="53" spans="1:31" ht="24.95" customHeight="1" x14ac:dyDescent="0.25">
      <c r="A53" s="39">
        <v>54</v>
      </c>
      <c r="B53" s="38" t="s">
        <v>181</v>
      </c>
      <c r="C53" s="38" t="s">
        <v>182</v>
      </c>
      <c r="D53" s="38" t="s">
        <v>183</v>
      </c>
      <c r="E53" s="38" t="s">
        <v>132</v>
      </c>
      <c r="F53" s="39">
        <v>1</v>
      </c>
      <c r="G53" s="40" t="s">
        <v>621</v>
      </c>
      <c r="H53" s="40" t="s">
        <v>621</v>
      </c>
      <c r="I53" s="40" t="s">
        <v>621</v>
      </c>
      <c r="J53" s="41">
        <v>1</v>
      </c>
      <c r="K53" s="40" t="s">
        <v>621</v>
      </c>
      <c r="L53" s="40" t="s">
        <v>587</v>
      </c>
      <c r="M53" s="40" t="s">
        <v>593</v>
      </c>
      <c r="N53" s="42" t="s">
        <v>626</v>
      </c>
      <c r="O53" s="43" t="s">
        <v>771</v>
      </c>
      <c r="P53" s="43"/>
      <c r="Q53" s="43"/>
      <c r="R53" s="44"/>
      <c r="S53" s="45"/>
      <c r="T53" s="9"/>
      <c r="U53" s="9"/>
      <c r="V53" s="9"/>
      <c r="W53" s="9"/>
      <c r="X53" s="9"/>
      <c r="Y53" s="9"/>
      <c r="Z53" s="9"/>
      <c r="AA53" s="10"/>
      <c r="AB53" s="10"/>
      <c r="AC53" s="10"/>
      <c r="AD53" s="10"/>
      <c r="AE53" s="10"/>
    </row>
    <row r="54" spans="1:31" ht="24.95" customHeight="1" x14ac:dyDescent="0.25">
      <c r="A54" s="39">
        <v>56</v>
      </c>
      <c r="B54" s="38" t="s">
        <v>186</v>
      </c>
      <c r="C54" s="38" t="s">
        <v>187</v>
      </c>
      <c r="D54" s="38" t="s">
        <v>160</v>
      </c>
      <c r="E54" s="38" t="s">
        <v>132</v>
      </c>
      <c r="F54" s="39">
        <v>1</v>
      </c>
      <c r="G54" s="40" t="s">
        <v>621</v>
      </c>
      <c r="H54" s="40" t="s">
        <v>621</v>
      </c>
      <c r="I54" s="40" t="s">
        <v>621</v>
      </c>
      <c r="J54" s="41">
        <v>1</v>
      </c>
      <c r="K54" s="40" t="s">
        <v>621</v>
      </c>
      <c r="L54" s="40" t="s">
        <v>587</v>
      </c>
      <c r="M54" s="40" t="s">
        <v>593</v>
      </c>
      <c r="N54" s="42" t="s">
        <v>626</v>
      </c>
      <c r="O54" s="43" t="s">
        <v>771</v>
      </c>
      <c r="P54" s="43"/>
      <c r="Q54" s="43"/>
      <c r="R54" s="44"/>
      <c r="S54" s="45"/>
      <c r="T54" s="9"/>
      <c r="U54" s="9"/>
      <c r="V54" s="9"/>
      <c r="W54" s="9"/>
      <c r="X54" s="9"/>
      <c r="Y54" s="9"/>
      <c r="Z54" s="9"/>
      <c r="AA54" s="10"/>
      <c r="AB54" s="10"/>
      <c r="AC54" s="10"/>
      <c r="AD54" s="10"/>
      <c r="AE54" s="10"/>
    </row>
    <row r="55" spans="1:31" ht="24.95" customHeight="1" x14ac:dyDescent="0.25">
      <c r="A55" s="39">
        <v>57</v>
      </c>
      <c r="B55" s="38" t="s">
        <v>188</v>
      </c>
      <c r="C55" s="38" t="s">
        <v>189</v>
      </c>
      <c r="D55" s="38" t="s">
        <v>190</v>
      </c>
      <c r="E55" s="38" t="s">
        <v>132</v>
      </c>
      <c r="F55" s="39">
        <v>1</v>
      </c>
      <c r="G55" s="40" t="s">
        <v>621</v>
      </c>
      <c r="H55" s="40" t="s">
        <v>621</v>
      </c>
      <c r="I55" s="40" t="s">
        <v>621</v>
      </c>
      <c r="J55" s="41">
        <v>1</v>
      </c>
      <c r="K55" s="40" t="s">
        <v>621</v>
      </c>
      <c r="L55" s="40" t="s">
        <v>587</v>
      </c>
      <c r="M55" s="40" t="s">
        <v>593</v>
      </c>
      <c r="N55" s="42" t="s">
        <v>626</v>
      </c>
      <c r="O55" s="43" t="s">
        <v>771</v>
      </c>
      <c r="P55" s="43"/>
      <c r="Q55" s="43"/>
      <c r="R55" s="44"/>
      <c r="S55" s="45"/>
      <c r="T55" s="9"/>
      <c r="U55" s="9"/>
      <c r="V55" s="9"/>
      <c r="W55" s="9"/>
      <c r="X55" s="9"/>
      <c r="Y55" s="9"/>
      <c r="Z55" s="9"/>
      <c r="AA55" s="10"/>
      <c r="AB55" s="10"/>
      <c r="AC55" s="10"/>
      <c r="AD55" s="10"/>
      <c r="AE55" s="10"/>
    </row>
    <row r="56" spans="1:31" ht="24.95" customHeight="1" x14ac:dyDescent="0.25">
      <c r="A56" s="39">
        <v>58</v>
      </c>
      <c r="B56" s="38" t="s">
        <v>191</v>
      </c>
      <c r="C56" s="38" t="s">
        <v>192</v>
      </c>
      <c r="D56" s="38" t="s">
        <v>92</v>
      </c>
      <c r="E56" s="38" t="s">
        <v>132</v>
      </c>
      <c r="F56" s="39">
        <v>1</v>
      </c>
      <c r="G56" s="40" t="s">
        <v>621</v>
      </c>
      <c r="H56" s="40" t="s">
        <v>621</v>
      </c>
      <c r="I56" s="40" t="s">
        <v>621</v>
      </c>
      <c r="J56" s="41">
        <v>1</v>
      </c>
      <c r="K56" s="40" t="s">
        <v>621</v>
      </c>
      <c r="L56" s="40" t="s">
        <v>587</v>
      </c>
      <c r="M56" s="40" t="s">
        <v>593</v>
      </c>
      <c r="N56" s="42" t="s">
        <v>626</v>
      </c>
      <c r="O56" s="43" t="s">
        <v>771</v>
      </c>
      <c r="P56" s="43"/>
      <c r="Q56" s="43"/>
      <c r="R56" s="44"/>
      <c r="S56" s="45"/>
      <c r="T56" s="9"/>
      <c r="U56" s="9"/>
      <c r="V56" s="9"/>
      <c r="W56" s="9"/>
      <c r="X56" s="9"/>
      <c r="Y56" s="9"/>
      <c r="Z56" s="9"/>
      <c r="AA56" s="10"/>
      <c r="AB56" s="10"/>
      <c r="AC56" s="10"/>
      <c r="AD56" s="10"/>
      <c r="AE56" s="10"/>
    </row>
    <row r="57" spans="1:31" ht="24.95" customHeight="1" x14ac:dyDescent="0.25">
      <c r="A57" s="39">
        <v>59</v>
      </c>
      <c r="B57" s="38" t="s">
        <v>193</v>
      </c>
      <c r="C57" s="38" t="s">
        <v>194</v>
      </c>
      <c r="D57" s="38" t="s">
        <v>195</v>
      </c>
      <c r="E57" s="38" t="s">
        <v>132</v>
      </c>
      <c r="F57" s="39">
        <v>1</v>
      </c>
      <c r="G57" s="40" t="s">
        <v>621</v>
      </c>
      <c r="H57" s="40" t="s">
        <v>621</v>
      </c>
      <c r="I57" s="40" t="s">
        <v>621</v>
      </c>
      <c r="J57" s="41">
        <v>1</v>
      </c>
      <c r="K57" s="40" t="s">
        <v>621</v>
      </c>
      <c r="L57" s="40" t="s">
        <v>587</v>
      </c>
      <c r="M57" s="40" t="s">
        <v>593</v>
      </c>
      <c r="N57" s="42" t="s">
        <v>626</v>
      </c>
      <c r="O57" s="43" t="s">
        <v>771</v>
      </c>
      <c r="P57" s="43"/>
      <c r="Q57" s="43"/>
      <c r="R57" s="44"/>
      <c r="S57" s="45"/>
      <c r="T57" s="9"/>
      <c r="U57" s="9"/>
      <c r="V57" s="9"/>
      <c r="W57" s="9"/>
      <c r="X57" s="9"/>
      <c r="Y57" s="9"/>
      <c r="Z57" s="9"/>
      <c r="AA57" s="10"/>
      <c r="AB57" s="10"/>
      <c r="AC57" s="10"/>
      <c r="AD57" s="10"/>
      <c r="AE57" s="10"/>
    </row>
    <row r="58" spans="1:31" ht="24.95" customHeight="1" x14ac:dyDescent="0.25">
      <c r="A58" s="39">
        <v>61</v>
      </c>
      <c r="B58" s="38" t="s">
        <v>198</v>
      </c>
      <c r="C58" s="38" t="s">
        <v>199</v>
      </c>
      <c r="D58" s="38" t="s">
        <v>24</v>
      </c>
      <c r="E58" s="38" t="s">
        <v>132</v>
      </c>
      <c r="F58" s="39">
        <v>1</v>
      </c>
      <c r="G58" s="40" t="s">
        <v>653</v>
      </c>
      <c r="H58" s="40" t="s">
        <v>653</v>
      </c>
      <c r="I58" s="40" t="s">
        <v>653</v>
      </c>
      <c r="J58" s="41"/>
      <c r="K58" s="40" t="s">
        <v>654</v>
      </c>
      <c r="L58" s="40" t="s">
        <v>581</v>
      </c>
      <c r="M58" s="40" t="s">
        <v>582</v>
      </c>
      <c r="N58" s="42" t="s">
        <v>655</v>
      </c>
      <c r="O58" s="43" t="s">
        <v>771</v>
      </c>
      <c r="P58" s="43" t="s">
        <v>893</v>
      </c>
      <c r="Q58" s="43" t="s">
        <v>896</v>
      </c>
      <c r="R58" s="44"/>
      <c r="S58" s="45"/>
      <c r="T58" s="9"/>
      <c r="U58" s="9"/>
      <c r="V58" s="9"/>
      <c r="W58" s="9"/>
      <c r="X58" s="9"/>
      <c r="Y58" s="9"/>
      <c r="Z58" s="9"/>
      <c r="AA58" s="10"/>
      <c r="AB58" s="10"/>
      <c r="AC58" s="10"/>
      <c r="AD58" s="10"/>
      <c r="AE58" s="10"/>
    </row>
    <row r="59" spans="1:31" ht="24.95" customHeight="1" x14ac:dyDescent="0.25">
      <c r="A59" s="39">
        <v>62</v>
      </c>
      <c r="B59" s="38" t="s">
        <v>200</v>
      </c>
      <c r="C59" s="38" t="s">
        <v>201</v>
      </c>
      <c r="D59" s="38" t="s">
        <v>24</v>
      </c>
      <c r="E59" s="38" t="s">
        <v>132</v>
      </c>
      <c r="F59" s="39">
        <v>1</v>
      </c>
      <c r="G59" s="40" t="s">
        <v>653</v>
      </c>
      <c r="H59" s="40" t="s">
        <v>653</v>
      </c>
      <c r="I59" s="40" t="s">
        <v>653</v>
      </c>
      <c r="J59" s="41"/>
      <c r="K59" s="40" t="s">
        <v>654</v>
      </c>
      <c r="L59" s="40" t="s">
        <v>581</v>
      </c>
      <c r="M59" s="40" t="s">
        <v>582</v>
      </c>
      <c r="N59" s="42" t="s">
        <v>656</v>
      </c>
      <c r="O59" s="43" t="s">
        <v>771</v>
      </c>
      <c r="P59" s="43" t="s">
        <v>893</v>
      </c>
      <c r="Q59" s="43" t="s">
        <v>896</v>
      </c>
      <c r="R59" s="44"/>
      <c r="S59" s="45"/>
      <c r="T59" s="9"/>
      <c r="U59" s="9"/>
      <c r="V59" s="9"/>
      <c r="W59" s="9"/>
      <c r="X59" s="9"/>
      <c r="Y59" s="9"/>
      <c r="Z59" s="9"/>
      <c r="AA59" s="10"/>
      <c r="AB59" s="10"/>
      <c r="AC59" s="10"/>
      <c r="AD59" s="10"/>
      <c r="AE59" s="10"/>
    </row>
    <row r="60" spans="1:31" ht="24.95" customHeight="1" x14ac:dyDescent="0.25">
      <c r="A60" s="39">
        <v>63</v>
      </c>
      <c r="B60" s="38" t="s">
        <v>202</v>
      </c>
      <c r="C60" s="38" t="s">
        <v>203</v>
      </c>
      <c r="D60" s="38" t="s">
        <v>24</v>
      </c>
      <c r="E60" s="38" t="s">
        <v>132</v>
      </c>
      <c r="F60" s="39">
        <v>1</v>
      </c>
      <c r="G60" s="40" t="s">
        <v>653</v>
      </c>
      <c r="H60" s="40" t="s">
        <v>653</v>
      </c>
      <c r="I60" s="40" t="s">
        <v>653</v>
      </c>
      <c r="J60" s="41"/>
      <c r="K60" s="40" t="s">
        <v>590</v>
      </c>
      <c r="L60" s="40" t="s">
        <v>587</v>
      </c>
      <c r="M60" s="40" t="s">
        <v>582</v>
      </c>
      <c r="N60" s="42" t="s">
        <v>657</v>
      </c>
      <c r="O60" s="43" t="s">
        <v>771</v>
      </c>
      <c r="P60" s="43" t="s">
        <v>893</v>
      </c>
      <c r="Q60" s="43" t="s">
        <v>896</v>
      </c>
      <c r="R60" s="44"/>
      <c r="S60" s="45"/>
      <c r="T60" s="9"/>
      <c r="U60" s="9"/>
      <c r="V60" s="9"/>
      <c r="W60" s="9"/>
      <c r="X60" s="9"/>
      <c r="Y60" s="9"/>
      <c r="Z60" s="9"/>
      <c r="AA60" s="10"/>
      <c r="AB60" s="10"/>
      <c r="AC60" s="10"/>
      <c r="AD60" s="10"/>
      <c r="AE60" s="10"/>
    </row>
    <row r="61" spans="1:31" ht="24.95" customHeight="1" x14ac:dyDescent="0.25">
      <c r="A61" s="39">
        <v>64</v>
      </c>
      <c r="B61" s="38" t="s">
        <v>204</v>
      </c>
      <c r="C61" s="38" t="s">
        <v>205</v>
      </c>
      <c r="D61" s="38" t="s">
        <v>206</v>
      </c>
      <c r="E61" s="38" t="s">
        <v>132</v>
      </c>
      <c r="F61" s="39">
        <v>1</v>
      </c>
      <c r="G61" s="40" t="s">
        <v>621</v>
      </c>
      <c r="H61" s="40" t="s">
        <v>629</v>
      </c>
      <c r="I61" s="40" t="s">
        <v>629</v>
      </c>
      <c r="J61" s="41"/>
      <c r="K61" s="40" t="s">
        <v>630</v>
      </c>
      <c r="L61" s="40" t="s">
        <v>587</v>
      </c>
      <c r="M61" s="40" t="s">
        <v>582</v>
      </c>
      <c r="N61" s="42" t="s">
        <v>658</v>
      </c>
      <c r="O61" s="43" t="s">
        <v>771</v>
      </c>
      <c r="P61" s="43"/>
      <c r="Q61" s="43"/>
      <c r="R61" s="44"/>
      <c r="S61" s="45" t="s">
        <v>903</v>
      </c>
      <c r="T61" s="9"/>
      <c r="U61" s="9"/>
      <c r="V61" s="9"/>
      <c r="W61" s="9"/>
      <c r="X61" s="9"/>
      <c r="Y61" s="9"/>
      <c r="Z61" s="9"/>
      <c r="AA61" s="10"/>
      <c r="AB61" s="10"/>
      <c r="AC61" s="10"/>
      <c r="AD61" s="10"/>
      <c r="AE61" s="10"/>
    </row>
    <row r="62" spans="1:31" ht="24.95" customHeight="1" x14ac:dyDescent="0.25">
      <c r="A62" s="39">
        <v>65</v>
      </c>
      <c r="B62" s="38" t="s">
        <v>207</v>
      </c>
      <c r="C62" s="38" t="s">
        <v>208</v>
      </c>
      <c r="D62" s="38" t="s">
        <v>209</v>
      </c>
      <c r="E62" s="38" t="s">
        <v>132</v>
      </c>
      <c r="F62" s="39">
        <v>1</v>
      </c>
      <c r="G62" s="40" t="s">
        <v>621</v>
      </c>
      <c r="H62" s="40" t="s">
        <v>621</v>
      </c>
      <c r="I62" s="40" t="s">
        <v>621</v>
      </c>
      <c r="J62" s="41">
        <v>1</v>
      </c>
      <c r="K62" s="40" t="s">
        <v>621</v>
      </c>
      <c r="L62" s="40" t="s">
        <v>587</v>
      </c>
      <c r="M62" s="40" t="s">
        <v>593</v>
      </c>
      <c r="N62" s="42" t="s">
        <v>626</v>
      </c>
      <c r="O62" s="43" t="s">
        <v>771</v>
      </c>
      <c r="P62" s="43"/>
      <c r="Q62" s="43"/>
      <c r="R62" s="44"/>
      <c r="S62" s="45"/>
      <c r="T62" s="9"/>
      <c r="U62" s="9"/>
      <c r="V62" s="9"/>
      <c r="W62" s="9"/>
      <c r="X62" s="9"/>
      <c r="Y62" s="9"/>
      <c r="Z62" s="9"/>
      <c r="AA62" s="10"/>
      <c r="AB62" s="10"/>
      <c r="AC62" s="10"/>
      <c r="AD62" s="10"/>
      <c r="AE62" s="10"/>
    </row>
    <row r="63" spans="1:31" ht="24.95" customHeight="1" x14ac:dyDescent="0.25">
      <c r="A63" s="39">
        <v>67</v>
      </c>
      <c r="B63" s="38" t="s">
        <v>212</v>
      </c>
      <c r="C63" s="38" t="s">
        <v>213</v>
      </c>
      <c r="D63" s="38" t="s">
        <v>214</v>
      </c>
      <c r="E63" s="38" t="s">
        <v>132</v>
      </c>
      <c r="F63" s="39">
        <v>1</v>
      </c>
      <c r="G63" s="40" t="s">
        <v>621</v>
      </c>
      <c r="H63" s="40" t="s">
        <v>629</v>
      </c>
      <c r="I63" s="40" t="s">
        <v>629</v>
      </c>
      <c r="J63" s="41"/>
      <c r="K63" s="40" t="s">
        <v>630</v>
      </c>
      <c r="L63" s="40" t="s">
        <v>587</v>
      </c>
      <c r="M63" s="40" t="s">
        <v>582</v>
      </c>
      <c r="N63" s="42" t="s">
        <v>659</v>
      </c>
      <c r="O63" s="43" t="s">
        <v>771</v>
      </c>
      <c r="P63" s="43"/>
      <c r="Q63" s="43"/>
      <c r="R63" s="44"/>
      <c r="S63" s="45" t="s">
        <v>903</v>
      </c>
      <c r="T63" s="9"/>
      <c r="U63" s="9"/>
      <c r="V63" s="9"/>
      <c r="W63" s="9"/>
      <c r="X63" s="9"/>
      <c r="Y63" s="9"/>
      <c r="Z63" s="9"/>
      <c r="AA63" s="10"/>
      <c r="AB63" s="10"/>
      <c r="AC63" s="10"/>
      <c r="AD63" s="10"/>
      <c r="AE63" s="10"/>
    </row>
    <row r="64" spans="1:31" ht="24.95" customHeight="1" x14ac:dyDescent="0.25">
      <c r="A64" s="39">
        <v>68</v>
      </c>
      <c r="B64" s="38" t="s">
        <v>215</v>
      </c>
      <c r="C64" s="38" t="s">
        <v>216</v>
      </c>
      <c r="D64" s="38" t="s">
        <v>104</v>
      </c>
      <c r="E64" s="38" t="s">
        <v>132</v>
      </c>
      <c r="F64" s="39">
        <v>1</v>
      </c>
      <c r="G64" s="40" t="s">
        <v>621</v>
      </c>
      <c r="H64" s="40" t="s">
        <v>621</v>
      </c>
      <c r="I64" s="40" t="s">
        <v>621</v>
      </c>
      <c r="J64" s="41"/>
      <c r="K64" s="40" t="s">
        <v>621</v>
      </c>
      <c r="L64" s="40" t="s">
        <v>587</v>
      </c>
      <c r="M64" s="40" t="s">
        <v>582</v>
      </c>
      <c r="N64" s="42" t="s">
        <v>660</v>
      </c>
      <c r="O64" s="43" t="s">
        <v>771</v>
      </c>
      <c r="P64" s="43"/>
      <c r="Q64" s="43"/>
      <c r="R64" s="44"/>
      <c r="S64" s="45" t="s">
        <v>903</v>
      </c>
      <c r="T64" s="9"/>
      <c r="U64" s="9"/>
      <c r="V64" s="9"/>
      <c r="W64" s="9"/>
      <c r="X64" s="9"/>
      <c r="Y64" s="9"/>
      <c r="Z64" s="9"/>
      <c r="AA64" s="10"/>
      <c r="AB64" s="10"/>
      <c r="AC64" s="10"/>
      <c r="AD64" s="10"/>
      <c r="AE64" s="10"/>
    </row>
    <row r="65" spans="1:31" ht="24.95" customHeight="1" x14ac:dyDescent="0.25">
      <c r="A65" s="39">
        <v>69</v>
      </c>
      <c r="B65" s="38" t="s">
        <v>217</v>
      </c>
      <c r="C65" s="38" t="s">
        <v>218</v>
      </c>
      <c r="D65" s="38" t="s">
        <v>219</v>
      </c>
      <c r="E65" s="38" t="s">
        <v>132</v>
      </c>
      <c r="F65" s="39">
        <v>1</v>
      </c>
      <c r="G65" s="40" t="s">
        <v>621</v>
      </c>
      <c r="H65" s="40" t="s">
        <v>621</v>
      </c>
      <c r="I65" s="40" t="s">
        <v>621</v>
      </c>
      <c r="J65" s="41">
        <v>1</v>
      </c>
      <c r="K65" s="40" t="s">
        <v>621</v>
      </c>
      <c r="L65" s="40" t="s">
        <v>587</v>
      </c>
      <c r="M65" s="40" t="s">
        <v>593</v>
      </c>
      <c r="N65" s="42" t="s">
        <v>626</v>
      </c>
      <c r="O65" s="43" t="s">
        <v>771</v>
      </c>
      <c r="P65" s="43"/>
      <c r="Q65" s="43"/>
      <c r="R65" s="44"/>
      <c r="S65" s="45"/>
      <c r="T65" s="9"/>
      <c r="U65" s="9"/>
      <c r="V65" s="9"/>
      <c r="W65" s="9"/>
      <c r="X65" s="9"/>
      <c r="Y65" s="9"/>
      <c r="Z65" s="9"/>
      <c r="AA65" s="10"/>
      <c r="AB65" s="10"/>
      <c r="AC65" s="10"/>
      <c r="AD65" s="10"/>
      <c r="AE65" s="10"/>
    </row>
    <row r="66" spans="1:31" ht="24.95" customHeight="1" x14ac:dyDescent="0.25">
      <c r="A66" s="39">
        <v>70</v>
      </c>
      <c r="B66" s="38" t="s">
        <v>220</v>
      </c>
      <c r="C66" s="38" t="s">
        <v>221</v>
      </c>
      <c r="D66" s="38" t="s">
        <v>222</v>
      </c>
      <c r="E66" s="38" t="s">
        <v>132</v>
      </c>
      <c r="F66" s="39">
        <v>1</v>
      </c>
      <c r="G66" s="40" t="s">
        <v>621</v>
      </c>
      <c r="H66" s="40" t="s">
        <v>621</v>
      </c>
      <c r="I66" s="40" t="s">
        <v>621</v>
      </c>
      <c r="J66" s="41">
        <v>1</v>
      </c>
      <c r="K66" s="40" t="s">
        <v>621</v>
      </c>
      <c r="L66" s="40" t="s">
        <v>587</v>
      </c>
      <c r="M66" s="40" t="s">
        <v>593</v>
      </c>
      <c r="N66" s="42" t="s">
        <v>626</v>
      </c>
      <c r="O66" s="43" t="s">
        <v>771</v>
      </c>
      <c r="P66" s="43"/>
      <c r="Q66" s="43"/>
      <c r="R66" s="44"/>
      <c r="S66" s="45"/>
      <c r="T66" s="9"/>
      <c r="U66" s="9"/>
      <c r="V66" s="9"/>
      <c r="W66" s="9"/>
      <c r="X66" s="9"/>
      <c r="Y66" s="9"/>
      <c r="Z66" s="9"/>
      <c r="AA66" s="10"/>
      <c r="AB66" s="10"/>
      <c r="AC66" s="10"/>
      <c r="AD66" s="10"/>
      <c r="AE66" s="10"/>
    </row>
    <row r="67" spans="1:31" ht="24.95" customHeight="1" x14ac:dyDescent="0.25">
      <c r="A67" s="39">
        <v>73</v>
      </c>
      <c r="B67" s="38" t="s">
        <v>227</v>
      </c>
      <c r="C67" s="38" t="s">
        <v>228</v>
      </c>
      <c r="D67" s="38" t="s">
        <v>229</v>
      </c>
      <c r="E67" s="38" t="s">
        <v>132</v>
      </c>
      <c r="F67" s="39">
        <v>1</v>
      </c>
      <c r="G67" s="40" t="s">
        <v>621</v>
      </c>
      <c r="H67" s="40" t="s">
        <v>621</v>
      </c>
      <c r="I67" s="40" t="s">
        <v>621</v>
      </c>
      <c r="J67" s="41">
        <v>1</v>
      </c>
      <c r="K67" s="40" t="s">
        <v>621</v>
      </c>
      <c r="L67" s="40" t="s">
        <v>587</v>
      </c>
      <c r="M67" s="40" t="s">
        <v>593</v>
      </c>
      <c r="N67" s="42" t="s">
        <v>626</v>
      </c>
      <c r="O67" s="43" t="s">
        <v>771</v>
      </c>
      <c r="P67" s="43"/>
      <c r="Q67" s="43"/>
      <c r="R67" s="44"/>
      <c r="S67" s="45"/>
      <c r="T67" s="9"/>
      <c r="U67" s="9"/>
      <c r="V67" s="9"/>
      <c r="W67" s="9"/>
      <c r="X67" s="9"/>
      <c r="Y67" s="9"/>
      <c r="Z67" s="9"/>
      <c r="AA67" s="10"/>
      <c r="AB67" s="10"/>
      <c r="AC67" s="10"/>
      <c r="AD67" s="10"/>
      <c r="AE67" s="10"/>
    </row>
    <row r="68" spans="1:31" ht="24.95" customHeight="1" x14ac:dyDescent="0.25">
      <c r="A68" s="39">
        <v>74</v>
      </c>
      <c r="B68" s="38" t="s">
        <v>230</v>
      </c>
      <c r="C68" s="38" t="s">
        <v>661</v>
      </c>
      <c r="D68" s="38" t="s">
        <v>232</v>
      </c>
      <c r="E68" s="38" t="s">
        <v>132</v>
      </c>
      <c r="F68" s="39">
        <v>1</v>
      </c>
      <c r="G68" s="40" t="s">
        <v>621</v>
      </c>
      <c r="H68" s="40" t="s">
        <v>621</v>
      </c>
      <c r="I68" s="40" t="s">
        <v>621</v>
      </c>
      <c r="J68" s="41">
        <v>1</v>
      </c>
      <c r="K68" s="40" t="s">
        <v>621</v>
      </c>
      <c r="L68" s="40" t="s">
        <v>587</v>
      </c>
      <c r="M68" s="40" t="s">
        <v>593</v>
      </c>
      <c r="N68" s="42" t="s">
        <v>626</v>
      </c>
      <c r="O68" s="43" t="s">
        <v>771</v>
      </c>
      <c r="P68" s="43"/>
      <c r="Q68" s="43"/>
      <c r="R68" s="44"/>
      <c r="S68" s="45"/>
      <c r="T68" s="11" t="s">
        <v>609</v>
      </c>
      <c r="U68" s="9" t="s">
        <v>662</v>
      </c>
      <c r="V68" s="9">
        <v>1</v>
      </c>
      <c r="W68" s="9" t="s">
        <v>620</v>
      </c>
      <c r="X68" s="11" t="s">
        <v>663</v>
      </c>
      <c r="Y68" s="12" t="s">
        <v>664</v>
      </c>
      <c r="Z68" s="12" t="s">
        <v>665</v>
      </c>
      <c r="AA68" s="10"/>
      <c r="AB68" s="10"/>
      <c r="AC68" s="10"/>
      <c r="AD68" s="10"/>
      <c r="AE68" s="10" t="s">
        <v>584</v>
      </c>
    </row>
    <row r="69" spans="1:31" ht="24.95" customHeight="1" x14ac:dyDescent="0.25">
      <c r="A69" s="39">
        <v>76</v>
      </c>
      <c r="B69" s="38" t="s">
        <v>235</v>
      </c>
      <c r="C69" s="38" t="s">
        <v>236</v>
      </c>
      <c r="D69" s="38" t="s">
        <v>237</v>
      </c>
      <c r="E69" s="38" t="s">
        <v>132</v>
      </c>
      <c r="F69" s="39">
        <v>1</v>
      </c>
      <c r="G69" s="40" t="s">
        <v>621</v>
      </c>
      <c r="H69" s="40" t="s">
        <v>621</v>
      </c>
      <c r="I69" s="40" t="s">
        <v>621</v>
      </c>
      <c r="J69" s="41">
        <v>1</v>
      </c>
      <c r="K69" s="40" t="s">
        <v>621</v>
      </c>
      <c r="L69" s="40" t="s">
        <v>587</v>
      </c>
      <c r="M69" s="40" t="s">
        <v>593</v>
      </c>
      <c r="N69" s="42" t="s">
        <v>626</v>
      </c>
      <c r="O69" s="43" t="s">
        <v>771</v>
      </c>
      <c r="P69" s="43"/>
      <c r="Q69" s="43"/>
      <c r="R69" s="44"/>
      <c r="S69" s="45"/>
      <c r="T69" s="9"/>
      <c r="U69" s="9"/>
      <c r="V69" s="9"/>
      <c r="W69" s="9"/>
      <c r="X69" s="9"/>
      <c r="Y69" s="9"/>
      <c r="Z69" s="9"/>
      <c r="AA69" s="10"/>
      <c r="AB69" s="10"/>
      <c r="AC69" s="10"/>
      <c r="AD69" s="10"/>
      <c r="AE69" s="10"/>
    </row>
    <row r="70" spans="1:31" ht="24.95" customHeight="1" x14ac:dyDescent="0.25">
      <c r="A70" s="39">
        <v>80</v>
      </c>
      <c r="B70" s="38" t="s">
        <v>244</v>
      </c>
      <c r="C70" s="38" t="s">
        <v>245</v>
      </c>
      <c r="D70" s="38" t="s">
        <v>246</v>
      </c>
      <c r="E70" s="38" t="s">
        <v>132</v>
      </c>
      <c r="F70" s="39">
        <v>1</v>
      </c>
      <c r="G70" s="40" t="s">
        <v>621</v>
      </c>
      <c r="H70" s="40" t="s">
        <v>629</v>
      </c>
      <c r="I70" s="40" t="s">
        <v>629</v>
      </c>
      <c r="J70" s="41"/>
      <c r="K70" s="40" t="s">
        <v>630</v>
      </c>
      <c r="L70" s="40" t="s">
        <v>587</v>
      </c>
      <c r="M70" s="40" t="s">
        <v>582</v>
      </c>
      <c r="N70" s="42" t="s">
        <v>666</v>
      </c>
      <c r="O70" s="43" t="s">
        <v>771</v>
      </c>
      <c r="P70" s="43"/>
      <c r="Q70" s="43"/>
      <c r="R70" s="44"/>
      <c r="S70" s="45" t="s">
        <v>903</v>
      </c>
      <c r="T70" s="11" t="s">
        <v>609</v>
      </c>
      <c r="U70" s="9" t="s">
        <v>245</v>
      </c>
      <c r="V70" s="9">
        <v>1</v>
      </c>
      <c r="W70" s="9" t="s">
        <v>620</v>
      </c>
      <c r="X70" s="11" t="s">
        <v>667</v>
      </c>
      <c r="Y70" s="12" t="s">
        <v>668</v>
      </c>
      <c r="Z70" s="12" t="s">
        <v>669</v>
      </c>
      <c r="AA70" s="10"/>
      <c r="AB70" s="10"/>
      <c r="AC70" s="10"/>
      <c r="AD70" s="10"/>
      <c r="AE70" s="10" t="s">
        <v>584</v>
      </c>
    </row>
    <row r="71" spans="1:31" ht="24.95" customHeight="1" x14ac:dyDescent="0.25">
      <c r="A71" s="39">
        <v>81</v>
      </c>
      <c r="B71" s="38" t="s">
        <v>247</v>
      </c>
      <c r="C71" s="38" t="s">
        <v>248</v>
      </c>
      <c r="D71" s="38" t="s">
        <v>249</v>
      </c>
      <c r="E71" s="38" t="s">
        <v>132</v>
      </c>
      <c r="F71" s="39">
        <v>1</v>
      </c>
      <c r="G71" s="40" t="s">
        <v>621</v>
      </c>
      <c r="H71" s="40" t="s">
        <v>629</v>
      </c>
      <c r="I71" s="40" t="s">
        <v>629</v>
      </c>
      <c r="J71" s="41"/>
      <c r="K71" s="40" t="s">
        <v>630</v>
      </c>
      <c r="L71" s="40" t="s">
        <v>587</v>
      </c>
      <c r="M71" s="40" t="s">
        <v>582</v>
      </c>
      <c r="N71" s="42" t="s">
        <v>670</v>
      </c>
      <c r="O71" s="43" t="s">
        <v>771</v>
      </c>
      <c r="P71" s="43"/>
      <c r="Q71" s="43"/>
      <c r="R71" s="44"/>
      <c r="S71" s="45" t="s">
        <v>903</v>
      </c>
      <c r="T71" s="9"/>
      <c r="U71" s="9"/>
      <c r="V71" s="9"/>
      <c r="W71" s="9"/>
      <c r="X71" s="9"/>
      <c r="Y71" s="9"/>
      <c r="Z71" s="9"/>
      <c r="AA71" s="10"/>
      <c r="AB71" s="10"/>
      <c r="AC71" s="10"/>
      <c r="AD71" s="10"/>
      <c r="AE71" s="10"/>
    </row>
    <row r="72" spans="1:31" ht="24.95" customHeight="1" x14ac:dyDescent="0.25">
      <c r="A72" s="39">
        <v>84</v>
      </c>
      <c r="B72" s="38" t="s">
        <v>254</v>
      </c>
      <c r="C72" s="38" t="s">
        <v>255</v>
      </c>
      <c r="D72" s="38" t="s">
        <v>256</v>
      </c>
      <c r="E72" s="38" t="s">
        <v>132</v>
      </c>
      <c r="F72" s="39">
        <v>1</v>
      </c>
      <c r="G72" s="40" t="s">
        <v>621</v>
      </c>
      <c r="H72" s="40" t="s">
        <v>621</v>
      </c>
      <c r="I72" s="40" t="s">
        <v>621</v>
      </c>
      <c r="J72" s="41">
        <v>1</v>
      </c>
      <c r="K72" s="40" t="s">
        <v>621</v>
      </c>
      <c r="L72" s="40" t="s">
        <v>587</v>
      </c>
      <c r="M72" s="40" t="s">
        <v>593</v>
      </c>
      <c r="N72" s="42" t="s">
        <v>626</v>
      </c>
      <c r="O72" s="43" t="s">
        <v>771</v>
      </c>
      <c r="P72" s="43"/>
      <c r="Q72" s="43"/>
      <c r="R72" s="44"/>
      <c r="S72" s="45"/>
      <c r="T72" s="11" t="s">
        <v>609</v>
      </c>
      <c r="U72" s="9" t="s">
        <v>671</v>
      </c>
      <c r="V72" s="9" t="s">
        <v>672</v>
      </c>
      <c r="W72" s="9" t="s">
        <v>672</v>
      </c>
      <c r="X72" s="11" t="s">
        <v>663</v>
      </c>
      <c r="Y72" s="12" t="s">
        <v>673</v>
      </c>
      <c r="Z72" s="12" t="s">
        <v>674</v>
      </c>
      <c r="AA72" s="10"/>
      <c r="AB72" s="10"/>
      <c r="AC72" s="10"/>
      <c r="AD72" s="10"/>
      <c r="AE72" s="10" t="s">
        <v>584</v>
      </c>
    </row>
    <row r="73" spans="1:31" ht="24.95" customHeight="1" x14ac:dyDescent="0.25">
      <c r="A73" s="39">
        <v>85</v>
      </c>
      <c r="B73" s="38" t="s">
        <v>257</v>
      </c>
      <c r="C73" s="38" t="s">
        <v>258</v>
      </c>
      <c r="D73" s="38" t="s">
        <v>259</v>
      </c>
      <c r="E73" s="38" t="s">
        <v>132</v>
      </c>
      <c r="F73" s="39">
        <v>1</v>
      </c>
      <c r="G73" s="40" t="s">
        <v>621</v>
      </c>
      <c r="H73" s="40" t="s">
        <v>629</v>
      </c>
      <c r="I73" s="40" t="s">
        <v>629</v>
      </c>
      <c r="J73" s="41"/>
      <c r="K73" s="40" t="s">
        <v>630</v>
      </c>
      <c r="L73" s="40" t="s">
        <v>587</v>
      </c>
      <c r="M73" s="40" t="s">
        <v>582</v>
      </c>
      <c r="N73" s="42" t="s">
        <v>675</v>
      </c>
      <c r="O73" s="43" t="s">
        <v>771</v>
      </c>
      <c r="P73" s="43"/>
      <c r="Q73" s="43"/>
      <c r="R73" s="44"/>
      <c r="S73" s="45" t="s">
        <v>905</v>
      </c>
      <c r="T73" s="9"/>
      <c r="U73" s="9"/>
      <c r="V73" s="9"/>
      <c r="W73" s="9"/>
      <c r="X73" s="9"/>
      <c r="Y73" s="9"/>
      <c r="Z73" s="9"/>
      <c r="AA73" s="10"/>
      <c r="AB73" s="10"/>
      <c r="AC73" s="10"/>
      <c r="AD73" s="10"/>
      <c r="AE73" s="10"/>
    </row>
    <row r="74" spans="1:31" ht="24.95" customHeight="1" x14ac:dyDescent="0.25">
      <c r="A74" s="39">
        <v>86</v>
      </c>
      <c r="B74" s="38" t="s">
        <v>260</v>
      </c>
      <c r="C74" s="38" t="s">
        <v>676</v>
      </c>
      <c r="D74" s="38" t="s">
        <v>262</v>
      </c>
      <c r="E74" s="38" t="s">
        <v>263</v>
      </c>
      <c r="F74" s="39">
        <v>0</v>
      </c>
      <c r="G74" s="40" t="s">
        <v>132</v>
      </c>
      <c r="H74" s="40" t="s">
        <v>629</v>
      </c>
      <c r="I74" s="40" t="s">
        <v>629</v>
      </c>
      <c r="J74" s="41"/>
      <c r="K74" s="40" t="s">
        <v>677</v>
      </c>
      <c r="L74" s="40" t="s">
        <v>587</v>
      </c>
      <c r="M74" s="40" t="s">
        <v>582</v>
      </c>
      <c r="N74" s="42" t="s">
        <v>678</v>
      </c>
      <c r="O74" s="43" t="s">
        <v>771</v>
      </c>
      <c r="P74" s="43"/>
      <c r="Q74" s="43"/>
      <c r="R74" s="44"/>
      <c r="S74" s="45" t="s">
        <v>903</v>
      </c>
      <c r="T74" s="9"/>
      <c r="U74" s="9"/>
      <c r="V74" s="9"/>
      <c r="W74" s="9"/>
      <c r="X74" s="9"/>
      <c r="Y74" s="9"/>
      <c r="Z74" s="9"/>
      <c r="AA74" s="10"/>
      <c r="AB74" s="10"/>
      <c r="AC74" s="10"/>
      <c r="AD74" s="10"/>
      <c r="AE74" s="10"/>
    </row>
    <row r="75" spans="1:31" ht="24.95" customHeight="1" x14ac:dyDescent="0.25">
      <c r="A75" s="39">
        <v>87</v>
      </c>
      <c r="B75" s="38" t="s">
        <v>264</v>
      </c>
      <c r="C75" s="38" t="s">
        <v>265</v>
      </c>
      <c r="D75" s="38" t="s">
        <v>120</v>
      </c>
      <c r="E75" s="38" t="s">
        <v>263</v>
      </c>
      <c r="F75" s="39">
        <v>1</v>
      </c>
      <c r="G75" s="40" t="s">
        <v>621</v>
      </c>
      <c r="H75" s="40" t="s">
        <v>621</v>
      </c>
      <c r="I75" s="40" t="s">
        <v>621</v>
      </c>
      <c r="J75" s="41"/>
      <c r="K75" s="40" t="s">
        <v>621</v>
      </c>
      <c r="L75" s="40" t="s">
        <v>587</v>
      </c>
      <c r="M75" s="40" t="s">
        <v>582</v>
      </c>
      <c r="N75" s="42" t="s">
        <v>679</v>
      </c>
      <c r="O75" s="43" t="s">
        <v>771</v>
      </c>
      <c r="P75" s="43"/>
      <c r="Q75" s="43"/>
      <c r="R75" s="44"/>
      <c r="S75" s="45"/>
      <c r="T75" s="9"/>
      <c r="U75" s="9"/>
      <c r="V75" s="9"/>
      <c r="W75" s="9"/>
      <c r="X75" s="9"/>
      <c r="Y75" s="9"/>
      <c r="Z75" s="9"/>
      <c r="AA75" s="10"/>
      <c r="AB75" s="10"/>
      <c r="AC75" s="10"/>
      <c r="AD75" s="10"/>
      <c r="AE75" s="10"/>
    </row>
    <row r="76" spans="1:31" ht="24.95" customHeight="1" x14ac:dyDescent="0.25">
      <c r="A76" s="39">
        <v>88</v>
      </c>
      <c r="B76" s="38" t="s">
        <v>266</v>
      </c>
      <c r="C76" s="38" t="s">
        <v>267</v>
      </c>
      <c r="D76" s="38" t="s">
        <v>268</v>
      </c>
      <c r="E76" s="38" t="s">
        <v>263</v>
      </c>
      <c r="F76" s="39">
        <v>1</v>
      </c>
      <c r="G76" s="40" t="s">
        <v>621</v>
      </c>
      <c r="H76" s="40" t="s">
        <v>621</v>
      </c>
      <c r="I76" s="40" t="s">
        <v>621</v>
      </c>
      <c r="J76" s="41">
        <v>1</v>
      </c>
      <c r="K76" s="40" t="s">
        <v>621</v>
      </c>
      <c r="L76" s="40" t="s">
        <v>587</v>
      </c>
      <c r="M76" s="40" t="s">
        <v>593</v>
      </c>
      <c r="N76" s="42" t="s">
        <v>626</v>
      </c>
      <c r="O76" s="43" t="s">
        <v>772</v>
      </c>
      <c r="P76" s="43"/>
      <c r="Q76" s="43"/>
      <c r="R76" s="44"/>
      <c r="S76" s="45" t="s">
        <v>906</v>
      </c>
      <c r="T76" s="9"/>
      <c r="U76" s="9"/>
      <c r="V76" s="9"/>
      <c r="W76" s="9"/>
      <c r="X76" s="9"/>
      <c r="Y76" s="9"/>
      <c r="Z76" s="9"/>
      <c r="AA76" s="10"/>
      <c r="AB76" s="10"/>
      <c r="AC76" s="10"/>
      <c r="AD76" s="10"/>
      <c r="AE76" s="10"/>
    </row>
    <row r="77" spans="1:31" ht="24.95" customHeight="1" x14ac:dyDescent="0.25">
      <c r="A77" s="39">
        <v>89</v>
      </c>
      <c r="B77" s="38" t="s">
        <v>269</v>
      </c>
      <c r="C77" s="38" t="s">
        <v>270</v>
      </c>
      <c r="D77" s="38" t="s">
        <v>271</v>
      </c>
      <c r="E77" s="38" t="s">
        <v>263</v>
      </c>
      <c r="F77" s="39">
        <v>1</v>
      </c>
      <c r="G77" s="40" t="s">
        <v>621</v>
      </c>
      <c r="H77" s="40" t="s">
        <v>621</v>
      </c>
      <c r="I77" s="40" t="s">
        <v>621</v>
      </c>
      <c r="J77" s="41">
        <v>1</v>
      </c>
      <c r="K77" s="40" t="s">
        <v>621</v>
      </c>
      <c r="L77" s="40" t="s">
        <v>587</v>
      </c>
      <c r="M77" s="40" t="s">
        <v>593</v>
      </c>
      <c r="N77" s="42" t="s">
        <v>626</v>
      </c>
      <c r="O77" s="43" t="s">
        <v>771</v>
      </c>
      <c r="P77" s="43"/>
      <c r="Q77" s="43"/>
      <c r="R77" s="44"/>
      <c r="S77" s="45"/>
      <c r="T77" s="9"/>
      <c r="U77" s="9"/>
      <c r="V77" s="9"/>
      <c r="W77" s="9"/>
      <c r="X77" s="9"/>
      <c r="Y77" s="9"/>
      <c r="Z77" s="9"/>
      <c r="AA77" s="10"/>
      <c r="AB77" s="10"/>
      <c r="AC77" s="10"/>
      <c r="AD77" s="10"/>
      <c r="AE77" s="10"/>
    </row>
    <row r="78" spans="1:31" ht="24.95" customHeight="1" x14ac:dyDescent="0.25">
      <c r="A78" s="39">
        <v>90</v>
      </c>
      <c r="B78" s="38" t="s">
        <v>272</v>
      </c>
      <c r="C78" s="38" t="s">
        <v>273</v>
      </c>
      <c r="D78" s="38" t="s">
        <v>271</v>
      </c>
      <c r="E78" s="38" t="s">
        <v>263</v>
      </c>
      <c r="F78" s="39">
        <v>1</v>
      </c>
      <c r="G78" s="40" t="s">
        <v>621</v>
      </c>
      <c r="H78" s="40" t="s">
        <v>621</v>
      </c>
      <c r="I78" s="40" t="s">
        <v>621</v>
      </c>
      <c r="J78" s="41">
        <v>1</v>
      </c>
      <c r="K78" s="40" t="s">
        <v>621</v>
      </c>
      <c r="L78" s="40" t="s">
        <v>587</v>
      </c>
      <c r="M78" s="40" t="s">
        <v>593</v>
      </c>
      <c r="N78" s="42" t="s">
        <v>626</v>
      </c>
      <c r="O78" s="43" t="s">
        <v>771</v>
      </c>
      <c r="P78" s="43"/>
      <c r="Q78" s="43"/>
      <c r="R78" s="44"/>
      <c r="S78" s="45"/>
      <c r="T78" s="9"/>
      <c r="U78" s="9"/>
      <c r="V78" s="9"/>
      <c r="W78" s="9"/>
      <c r="X78" s="9"/>
      <c r="Y78" s="9"/>
      <c r="Z78" s="9"/>
      <c r="AA78" s="10"/>
      <c r="AB78" s="10"/>
      <c r="AC78" s="10"/>
      <c r="AD78" s="10"/>
      <c r="AE78" s="10"/>
    </row>
    <row r="79" spans="1:31" ht="24.95" customHeight="1" x14ac:dyDescent="0.25">
      <c r="A79" s="39">
        <v>91</v>
      </c>
      <c r="B79" s="38" t="s">
        <v>274</v>
      </c>
      <c r="C79" s="38" t="s">
        <v>275</v>
      </c>
      <c r="D79" s="38" t="s">
        <v>276</v>
      </c>
      <c r="E79" s="38" t="s">
        <v>263</v>
      </c>
      <c r="F79" s="39">
        <v>1</v>
      </c>
      <c r="G79" s="40" t="s">
        <v>621</v>
      </c>
      <c r="H79" s="40" t="s">
        <v>621</v>
      </c>
      <c r="I79" s="40" t="s">
        <v>621</v>
      </c>
      <c r="J79" s="41">
        <v>1</v>
      </c>
      <c r="K79" s="40" t="s">
        <v>621</v>
      </c>
      <c r="L79" s="40" t="s">
        <v>587</v>
      </c>
      <c r="M79" s="40" t="s">
        <v>593</v>
      </c>
      <c r="N79" s="42" t="s">
        <v>626</v>
      </c>
      <c r="O79" s="43" t="s">
        <v>771</v>
      </c>
      <c r="P79" s="43"/>
      <c r="Q79" s="43"/>
      <c r="R79" s="44"/>
      <c r="S79" s="45"/>
      <c r="T79" s="9"/>
      <c r="U79" s="9"/>
      <c r="V79" s="9"/>
      <c r="W79" s="9"/>
      <c r="X79" s="9"/>
      <c r="Y79" s="9"/>
      <c r="Z79" s="9"/>
      <c r="AA79" s="10"/>
      <c r="AB79" s="10"/>
      <c r="AC79" s="10"/>
      <c r="AD79" s="10"/>
      <c r="AE79" s="10"/>
    </row>
    <row r="80" spans="1:31" ht="24.95" customHeight="1" x14ac:dyDescent="0.25">
      <c r="A80" s="39">
        <v>92</v>
      </c>
      <c r="B80" s="38" t="s">
        <v>277</v>
      </c>
      <c r="C80" s="38" t="s">
        <v>278</v>
      </c>
      <c r="D80" s="38" t="s">
        <v>279</v>
      </c>
      <c r="E80" s="38" t="s">
        <v>263</v>
      </c>
      <c r="F80" s="39">
        <v>1</v>
      </c>
      <c r="G80" s="40" t="s">
        <v>621</v>
      </c>
      <c r="H80" s="40" t="s">
        <v>621</v>
      </c>
      <c r="I80" s="40" t="s">
        <v>621</v>
      </c>
      <c r="J80" s="41">
        <v>1</v>
      </c>
      <c r="K80" s="40" t="s">
        <v>621</v>
      </c>
      <c r="L80" s="40" t="s">
        <v>587</v>
      </c>
      <c r="M80" s="40" t="s">
        <v>593</v>
      </c>
      <c r="N80" s="42" t="s">
        <v>626</v>
      </c>
      <c r="O80" s="43" t="s">
        <v>771</v>
      </c>
      <c r="P80" s="43"/>
      <c r="Q80" s="43"/>
      <c r="R80" s="44"/>
      <c r="S80" s="45"/>
      <c r="T80" s="9"/>
      <c r="U80" s="9"/>
      <c r="V80" s="9"/>
      <c r="W80" s="9"/>
      <c r="X80" s="9"/>
      <c r="Y80" s="9"/>
      <c r="Z80" s="9"/>
      <c r="AA80" s="10"/>
      <c r="AB80" s="10"/>
      <c r="AC80" s="10"/>
      <c r="AD80" s="10"/>
      <c r="AE80" s="10"/>
    </row>
    <row r="81" spans="1:31" ht="24.95" customHeight="1" x14ac:dyDescent="0.25">
      <c r="A81" s="39">
        <v>93</v>
      </c>
      <c r="B81" s="38" t="s">
        <v>280</v>
      </c>
      <c r="C81" s="38" t="s">
        <v>281</v>
      </c>
      <c r="D81" s="38" t="s">
        <v>281</v>
      </c>
      <c r="E81" s="38" t="s">
        <v>263</v>
      </c>
      <c r="F81" s="39">
        <v>1</v>
      </c>
      <c r="G81" s="40" t="s">
        <v>621</v>
      </c>
      <c r="H81" s="40" t="s">
        <v>621</v>
      </c>
      <c r="I81" s="40" t="s">
        <v>621</v>
      </c>
      <c r="J81" s="41">
        <v>1</v>
      </c>
      <c r="K81" s="40" t="s">
        <v>621</v>
      </c>
      <c r="L81" s="40" t="s">
        <v>587</v>
      </c>
      <c r="M81" s="40" t="s">
        <v>593</v>
      </c>
      <c r="N81" s="42" t="s">
        <v>626</v>
      </c>
      <c r="O81" s="43" t="s">
        <v>771</v>
      </c>
      <c r="P81" s="43"/>
      <c r="Q81" s="43"/>
      <c r="R81" s="44"/>
      <c r="S81" s="45"/>
      <c r="T81" s="9"/>
      <c r="U81" s="9"/>
      <c r="V81" s="9"/>
      <c r="W81" s="9"/>
      <c r="X81" s="9"/>
      <c r="Y81" s="9"/>
      <c r="Z81" s="9"/>
      <c r="AA81" s="10"/>
      <c r="AB81" s="10"/>
      <c r="AC81" s="10"/>
      <c r="AD81" s="10"/>
      <c r="AE81" s="10"/>
    </row>
    <row r="82" spans="1:31" ht="24.95" customHeight="1" x14ac:dyDescent="0.25">
      <c r="A82" s="39">
        <v>94</v>
      </c>
      <c r="B82" s="38" t="s">
        <v>282</v>
      </c>
      <c r="C82" s="38" t="s">
        <v>283</v>
      </c>
      <c r="D82" s="38" t="s">
        <v>284</v>
      </c>
      <c r="E82" s="38" t="s">
        <v>263</v>
      </c>
      <c r="F82" s="39">
        <v>1</v>
      </c>
      <c r="G82" s="40" t="s">
        <v>621</v>
      </c>
      <c r="H82" s="40" t="s">
        <v>621</v>
      </c>
      <c r="I82" s="40" t="s">
        <v>621</v>
      </c>
      <c r="J82" s="41">
        <v>1</v>
      </c>
      <c r="K82" s="40" t="s">
        <v>621</v>
      </c>
      <c r="L82" s="40" t="s">
        <v>587</v>
      </c>
      <c r="M82" s="40" t="s">
        <v>593</v>
      </c>
      <c r="N82" s="42" t="s">
        <v>626</v>
      </c>
      <c r="O82" s="43" t="s">
        <v>771</v>
      </c>
      <c r="P82" s="43"/>
      <c r="Q82" s="43"/>
      <c r="R82" s="44"/>
      <c r="S82" s="45"/>
      <c r="T82" s="11" t="s">
        <v>609</v>
      </c>
      <c r="U82" s="9" t="s">
        <v>680</v>
      </c>
      <c r="V82" s="9">
        <v>1</v>
      </c>
      <c r="W82" s="9" t="s">
        <v>620</v>
      </c>
      <c r="X82" s="11" t="s">
        <v>681</v>
      </c>
      <c r="Y82" s="12" t="s">
        <v>682</v>
      </c>
      <c r="Z82" s="12" t="s">
        <v>683</v>
      </c>
      <c r="AA82" s="10"/>
      <c r="AB82" s="10"/>
      <c r="AC82" s="10"/>
      <c r="AD82" s="10"/>
      <c r="AE82" s="10" t="s">
        <v>584</v>
      </c>
    </row>
    <row r="83" spans="1:31" ht="24.95" customHeight="1" x14ac:dyDescent="0.25">
      <c r="A83" s="39">
        <v>95</v>
      </c>
      <c r="B83" s="38" t="s">
        <v>285</v>
      </c>
      <c r="C83" s="38" t="s">
        <v>286</v>
      </c>
      <c r="D83" s="38" t="s">
        <v>287</v>
      </c>
      <c r="E83" s="38" t="s">
        <v>263</v>
      </c>
      <c r="F83" s="39">
        <v>1</v>
      </c>
      <c r="G83" s="40" t="s">
        <v>621</v>
      </c>
      <c r="H83" s="40" t="s">
        <v>621</v>
      </c>
      <c r="I83" s="40" t="s">
        <v>621</v>
      </c>
      <c r="J83" s="41">
        <v>1</v>
      </c>
      <c r="K83" s="40" t="s">
        <v>621</v>
      </c>
      <c r="L83" s="40" t="s">
        <v>587</v>
      </c>
      <c r="M83" s="40" t="s">
        <v>593</v>
      </c>
      <c r="N83" s="42" t="s">
        <v>626</v>
      </c>
      <c r="O83" s="43" t="s">
        <v>771</v>
      </c>
      <c r="P83" s="43"/>
      <c r="Q83" s="43"/>
      <c r="R83" s="44"/>
      <c r="S83" s="45"/>
      <c r="T83" s="9"/>
      <c r="U83" s="9"/>
      <c r="V83" s="9"/>
      <c r="W83" s="9"/>
      <c r="X83" s="9"/>
      <c r="Y83" s="9"/>
      <c r="Z83" s="9"/>
      <c r="AA83" s="10"/>
      <c r="AB83" s="10"/>
      <c r="AC83" s="10"/>
      <c r="AD83" s="10"/>
      <c r="AE83" s="10"/>
    </row>
    <row r="84" spans="1:31" ht="24.95" customHeight="1" x14ac:dyDescent="0.25">
      <c r="A84" s="39">
        <v>96</v>
      </c>
      <c r="B84" s="38" t="s">
        <v>288</v>
      </c>
      <c r="C84" s="38" t="s">
        <v>289</v>
      </c>
      <c r="D84" s="38" t="s">
        <v>290</v>
      </c>
      <c r="E84" s="38" t="s">
        <v>263</v>
      </c>
      <c r="F84" s="39">
        <v>1</v>
      </c>
      <c r="G84" s="40" t="s">
        <v>621</v>
      </c>
      <c r="H84" s="40" t="s">
        <v>621</v>
      </c>
      <c r="I84" s="40" t="s">
        <v>621</v>
      </c>
      <c r="J84" s="41">
        <v>1</v>
      </c>
      <c r="K84" s="40" t="s">
        <v>621</v>
      </c>
      <c r="L84" s="40" t="s">
        <v>587</v>
      </c>
      <c r="M84" s="40" t="s">
        <v>593</v>
      </c>
      <c r="N84" s="42" t="s">
        <v>626</v>
      </c>
      <c r="O84" s="43" t="s">
        <v>771</v>
      </c>
      <c r="P84" s="43"/>
      <c r="Q84" s="43"/>
      <c r="R84" s="44"/>
      <c r="S84" s="45"/>
      <c r="T84" s="9"/>
      <c r="U84" s="9"/>
      <c r="V84" s="9"/>
      <c r="W84" s="9"/>
      <c r="X84" s="9"/>
      <c r="Y84" s="9"/>
      <c r="Z84" s="9"/>
      <c r="AA84" s="10"/>
      <c r="AB84" s="10"/>
      <c r="AC84" s="10"/>
      <c r="AD84" s="10"/>
      <c r="AE84" s="10"/>
    </row>
    <row r="85" spans="1:31" ht="24.95" customHeight="1" x14ac:dyDescent="0.25">
      <c r="A85" s="39">
        <v>97</v>
      </c>
      <c r="B85" s="38" t="s">
        <v>291</v>
      </c>
      <c r="C85" s="38" t="s">
        <v>292</v>
      </c>
      <c r="D85" s="38" t="s">
        <v>293</v>
      </c>
      <c r="E85" s="38" t="s">
        <v>263</v>
      </c>
      <c r="F85" s="39">
        <v>1</v>
      </c>
      <c r="G85" s="40" t="s">
        <v>621</v>
      </c>
      <c r="H85" s="40" t="s">
        <v>621</v>
      </c>
      <c r="I85" s="40" t="s">
        <v>621</v>
      </c>
      <c r="J85" s="41">
        <v>1</v>
      </c>
      <c r="K85" s="40" t="s">
        <v>621</v>
      </c>
      <c r="L85" s="40" t="s">
        <v>587</v>
      </c>
      <c r="M85" s="40" t="s">
        <v>593</v>
      </c>
      <c r="N85" s="42" t="s">
        <v>626</v>
      </c>
      <c r="O85" s="43" t="s">
        <v>771</v>
      </c>
      <c r="P85" s="43"/>
      <c r="Q85" s="43"/>
      <c r="R85" s="44"/>
      <c r="S85" s="45"/>
      <c r="T85" s="9"/>
      <c r="U85" s="9"/>
      <c r="V85" s="9"/>
      <c r="W85" s="9"/>
      <c r="X85" s="9"/>
      <c r="Y85" s="9"/>
      <c r="Z85" s="9"/>
      <c r="AA85" s="10"/>
      <c r="AB85" s="10"/>
      <c r="AC85" s="10"/>
      <c r="AD85" s="10"/>
      <c r="AE85" s="10"/>
    </row>
    <row r="86" spans="1:31" ht="24.95" customHeight="1" x14ac:dyDescent="0.25">
      <c r="A86" s="39">
        <v>98</v>
      </c>
      <c r="B86" s="38" t="s">
        <v>294</v>
      </c>
      <c r="C86" s="38" t="s">
        <v>295</v>
      </c>
      <c r="D86" s="38" t="s">
        <v>296</v>
      </c>
      <c r="E86" s="38" t="s">
        <v>263</v>
      </c>
      <c r="F86" s="39">
        <v>1</v>
      </c>
      <c r="G86" s="40" t="s">
        <v>621</v>
      </c>
      <c r="H86" s="40" t="s">
        <v>621</v>
      </c>
      <c r="I86" s="40" t="s">
        <v>621</v>
      </c>
      <c r="J86" s="41">
        <v>1</v>
      </c>
      <c r="K86" s="40" t="s">
        <v>621</v>
      </c>
      <c r="L86" s="40" t="s">
        <v>587</v>
      </c>
      <c r="M86" s="40" t="s">
        <v>593</v>
      </c>
      <c r="N86" s="42" t="s">
        <v>626</v>
      </c>
      <c r="O86" s="43" t="s">
        <v>771</v>
      </c>
      <c r="P86" s="43"/>
      <c r="Q86" s="43"/>
      <c r="R86" s="44"/>
      <c r="S86" s="45"/>
      <c r="T86" s="9"/>
      <c r="U86" s="9"/>
      <c r="V86" s="9"/>
      <c r="W86" s="9"/>
      <c r="X86" s="9"/>
      <c r="Y86" s="9"/>
      <c r="Z86" s="9"/>
      <c r="AA86" s="10"/>
      <c r="AB86" s="10"/>
      <c r="AC86" s="10"/>
      <c r="AD86" s="10"/>
      <c r="AE86" s="10"/>
    </row>
    <row r="87" spans="1:31" ht="24.95" customHeight="1" x14ac:dyDescent="0.25">
      <c r="A87" s="39">
        <v>99</v>
      </c>
      <c r="B87" s="38" t="s">
        <v>297</v>
      </c>
      <c r="C87" s="38" t="s">
        <v>298</v>
      </c>
      <c r="D87" s="38" t="s">
        <v>299</v>
      </c>
      <c r="E87" s="38" t="s">
        <v>263</v>
      </c>
      <c r="F87" s="39">
        <v>1</v>
      </c>
      <c r="G87" s="40" t="s">
        <v>621</v>
      </c>
      <c r="H87" s="40" t="s">
        <v>621</v>
      </c>
      <c r="I87" s="40" t="s">
        <v>621</v>
      </c>
      <c r="J87" s="41">
        <v>1</v>
      </c>
      <c r="K87" s="40" t="s">
        <v>621</v>
      </c>
      <c r="L87" s="40" t="s">
        <v>587</v>
      </c>
      <c r="M87" s="40" t="s">
        <v>593</v>
      </c>
      <c r="N87" s="42" t="s">
        <v>626</v>
      </c>
      <c r="O87" s="43" t="s">
        <v>771</v>
      </c>
      <c r="P87" s="43"/>
      <c r="Q87" s="43"/>
      <c r="R87" s="44"/>
      <c r="S87" s="45"/>
      <c r="T87" s="9"/>
      <c r="U87" s="9"/>
      <c r="V87" s="9"/>
      <c r="W87" s="9"/>
      <c r="X87" s="9"/>
      <c r="Y87" s="9"/>
      <c r="Z87" s="9"/>
      <c r="AA87" s="10"/>
      <c r="AB87" s="10"/>
      <c r="AC87" s="10"/>
      <c r="AD87" s="10"/>
      <c r="AE87" s="10"/>
    </row>
    <row r="88" spans="1:31" ht="24.95" customHeight="1" x14ac:dyDescent="0.25">
      <c r="A88" s="39">
        <v>100</v>
      </c>
      <c r="B88" s="38" t="s">
        <v>300</v>
      </c>
      <c r="C88" s="38" t="s">
        <v>684</v>
      </c>
      <c r="D88" s="38" t="s">
        <v>302</v>
      </c>
      <c r="E88" s="38" t="s">
        <v>263</v>
      </c>
      <c r="F88" s="39">
        <v>1</v>
      </c>
      <c r="G88" s="40" t="s">
        <v>621</v>
      </c>
      <c r="H88" s="40" t="s">
        <v>621</v>
      </c>
      <c r="I88" s="40" t="s">
        <v>621</v>
      </c>
      <c r="J88" s="41">
        <v>1</v>
      </c>
      <c r="K88" s="40" t="s">
        <v>621</v>
      </c>
      <c r="L88" s="40" t="s">
        <v>587</v>
      </c>
      <c r="M88" s="40" t="s">
        <v>593</v>
      </c>
      <c r="N88" s="42" t="s">
        <v>626</v>
      </c>
      <c r="O88" s="43" t="s">
        <v>771</v>
      </c>
      <c r="P88" s="43"/>
      <c r="Q88" s="43"/>
      <c r="R88" s="44"/>
      <c r="S88" s="45"/>
      <c r="T88" s="9"/>
      <c r="U88" s="9"/>
      <c r="V88" s="9"/>
      <c r="W88" s="9"/>
      <c r="X88" s="9"/>
      <c r="Y88" s="9"/>
      <c r="Z88" s="9"/>
      <c r="AA88" s="10"/>
      <c r="AB88" s="10"/>
      <c r="AC88" s="10"/>
      <c r="AD88" s="10"/>
      <c r="AE88" s="10"/>
    </row>
    <row r="89" spans="1:31" ht="24.95" customHeight="1" x14ac:dyDescent="0.25">
      <c r="A89" s="39">
        <v>101</v>
      </c>
      <c r="B89" s="38" t="s">
        <v>303</v>
      </c>
      <c r="C89" s="38" t="s">
        <v>685</v>
      </c>
      <c r="D89" s="38" t="s">
        <v>302</v>
      </c>
      <c r="E89" s="38" t="s">
        <v>263</v>
      </c>
      <c r="F89" s="39">
        <v>1</v>
      </c>
      <c r="G89" s="40" t="s">
        <v>621</v>
      </c>
      <c r="H89" s="40" t="s">
        <v>621</v>
      </c>
      <c r="I89" s="40" t="s">
        <v>621</v>
      </c>
      <c r="J89" s="41">
        <v>1</v>
      </c>
      <c r="K89" s="40" t="s">
        <v>621</v>
      </c>
      <c r="L89" s="40" t="s">
        <v>587</v>
      </c>
      <c r="M89" s="40" t="s">
        <v>593</v>
      </c>
      <c r="N89" s="42" t="s">
        <v>626</v>
      </c>
      <c r="O89" s="43" t="s">
        <v>771</v>
      </c>
      <c r="P89" s="43"/>
      <c r="Q89" s="43"/>
      <c r="R89" s="44"/>
      <c r="S89" s="45"/>
      <c r="T89" s="9"/>
      <c r="U89" s="9"/>
      <c r="V89" s="9"/>
      <c r="W89" s="9"/>
      <c r="X89" s="9"/>
      <c r="Y89" s="9"/>
      <c r="Z89" s="9"/>
      <c r="AA89" s="10"/>
      <c r="AB89" s="10"/>
      <c r="AC89" s="10"/>
      <c r="AD89" s="10"/>
      <c r="AE89" s="10"/>
    </row>
    <row r="90" spans="1:31" ht="24.95" customHeight="1" x14ac:dyDescent="0.25">
      <c r="A90" s="39">
        <v>102</v>
      </c>
      <c r="B90" s="38" t="s">
        <v>305</v>
      </c>
      <c r="C90" s="38" t="s">
        <v>306</v>
      </c>
      <c r="D90" s="38" t="s">
        <v>307</v>
      </c>
      <c r="E90" s="38" t="s">
        <v>263</v>
      </c>
      <c r="F90" s="39">
        <v>1</v>
      </c>
      <c r="G90" s="40" t="s">
        <v>621</v>
      </c>
      <c r="H90" s="40" t="s">
        <v>621</v>
      </c>
      <c r="I90" s="40" t="s">
        <v>621</v>
      </c>
      <c r="J90" s="41">
        <v>1</v>
      </c>
      <c r="K90" s="40" t="s">
        <v>621</v>
      </c>
      <c r="L90" s="40" t="s">
        <v>587</v>
      </c>
      <c r="M90" s="40" t="s">
        <v>593</v>
      </c>
      <c r="N90" s="42" t="s">
        <v>626</v>
      </c>
      <c r="O90" s="43" t="s">
        <v>771</v>
      </c>
      <c r="P90" s="43"/>
      <c r="Q90" s="43"/>
      <c r="R90" s="44"/>
      <c r="S90" s="45"/>
      <c r="T90" s="11" t="s">
        <v>609</v>
      </c>
      <c r="U90" s="9" t="s">
        <v>686</v>
      </c>
      <c r="V90" s="9">
        <v>1</v>
      </c>
      <c r="W90" s="9" t="s">
        <v>620</v>
      </c>
      <c r="X90" s="11" t="s">
        <v>663</v>
      </c>
      <c r="Y90" s="12" t="s">
        <v>687</v>
      </c>
      <c r="Z90" s="12" t="s">
        <v>688</v>
      </c>
      <c r="AA90" s="10"/>
      <c r="AB90" s="10"/>
      <c r="AC90" s="10"/>
      <c r="AD90" s="10"/>
      <c r="AE90" s="10" t="s">
        <v>584</v>
      </c>
    </row>
    <row r="91" spans="1:31" ht="24.95" customHeight="1" x14ac:dyDescent="0.25">
      <c r="A91" s="39">
        <v>103</v>
      </c>
      <c r="B91" s="38" t="s">
        <v>308</v>
      </c>
      <c r="C91" s="38" t="s">
        <v>309</v>
      </c>
      <c r="D91" s="38" t="s">
        <v>310</v>
      </c>
      <c r="E91" s="38" t="s">
        <v>263</v>
      </c>
      <c r="F91" s="39">
        <v>1</v>
      </c>
      <c r="G91" s="40" t="s">
        <v>621</v>
      </c>
      <c r="H91" s="40" t="s">
        <v>621</v>
      </c>
      <c r="I91" s="40" t="s">
        <v>621</v>
      </c>
      <c r="J91" s="41">
        <v>1</v>
      </c>
      <c r="K91" s="40" t="s">
        <v>621</v>
      </c>
      <c r="L91" s="40" t="s">
        <v>587</v>
      </c>
      <c r="M91" s="40" t="s">
        <v>593</v>
      </c>
      <c r="N91" s="42" t="s">
        <v>626</v>
      </c>
      <c r="O91" s="43" t="s">
        <v>771</v>
      </c>
      <c r="P91" s="43"/>
      <c r="Q91" s="43"/>
      <c r="R91" s="44"/>
      <c r="S91" s="45"/>
      <c r="T91" s="11" t="s">
        <v>609</v>
      </c>
      <c r="U91" s="9" t="s">
        <v>689</v>
      </c>
      <c r="V91" s="9">
        <v>3</v>
      </c>
      <c r="W91" s="9" t="s">
        <v>620</v>
      </c>
      <c r="X91" s="11" t="s">
        <v>663</v>
      </c>
      <c r="Y91" s="12" t="s">
        <v>690</v>
      </c>
      <c r="Z91" s="12" t="s">
        <v>691</v>
      </c>
      <c r="AA91" s="10"/>
      <c r="AB91" s="10"/>
      <c r="AC91" s="10"/>
      <c r="AD91" s="10"/>
      <c r="AE91" s="10" t="s">
        <v>584</v>
      </c>
    </row>
    <row r="92" spans="1:31" ht="24.95" customHeight="1" x14ac:dyDescent="0.25">
      <c r="A92" s="39">
        <v>104</v>
      </c>
      <c r="B92" s="38" t="s">
        <v>311</v>
      </c>
      <c r="C92" s="38" t="s">
        <v>311</v>
      </c>
      <c r="D92" s="38" t="s">
        <v>311</v>
      </c>
      <c r="E92" s="38" t="s">
        <v>263</v>
      </c>
      <c r="F92" s="39">
        <v>1</v>
      </c>
      <c r="G92" s="40" t="s">
        <v>621</v>
      </c>
      <c r="H92" s="40" t="s">
        <v>629</v>
      </c>
      <c r="I92" s="40" t="s">
        <v>629</v>
      </c>
      <c r="J92" s="41"/>
      <c r="K92" s="40" t="s">
        <v>630</v>
      </c>
      <c r="L92" s="40" t="s">
        <v>587</v>
      </c>
      <c r="M92" s="40" t="s">
        <v>582</v>
      </c>
      <c r="N92" s="42" t="s">
        <v>692</v>
      </c>
      <c r="O92" s="43" t="s">
        <v>771</v>
      </c>
      <c r="P92" s="43"/>
      <c r="Q92" s="43"/>
      <c r="R92" s="44"/>
      <c r="S92" s="45" t="s">
        <v>903</v>
      </c>
      <c r="T92" s="9"/>
      <c r="U92" s="9"/>
      <c r="V92" s="9"/>
      <c r="W92" s="9"/>
      <c r="X92" s="9"/>
      <c r="Y92" s="9"/>
      <c r="Z92" s="9"/>
      <c r="AA92" s="10"/>
      <c r="AB92" s="10"/>
      <c r="AC92" s="10"/>
      <c r="AD92" s="10"/>
      <c r="AE92" s="10"/>
    </row>
    <row r="93" spans="1:31" ht="24.95" customHeight="1" x14ac:dyDescent="0.25">
      <c r="A93" s="39">
        <v>105</v>
      </c>
      <c r="B93" s="38" t="s">
        <v>312</v>
      </c>
      <c r="C93" s="38" t="s">
        <v>693</v>
      </c>
      <c r="D93" s="38" t="s">
        <v>314</v>
      </c>
      <c r="E93" s="38" t="s">
        <v>263</v>
      </c>
      <c r="F93" s="39">
        <v>1</v>
      </c>
      <c r="G93" s="40" t="s">
        <v>621</v>
      </c>
      <c r="H93" s="40" t="s">
        <v>621</v>
      </c>
      <c r="I93" s="40" t="s">
        <v>621</v>
      </c>
      <c r="J93" s="41">
        <v>1</v>
      </c>
      <c r="K93" s="40" t="s">
        <v>621</v>
      </c>
      <c r="L93" s="40" t="s">
        <v>587</v>
      </c>
      <c r="M93" s="40" t="s">
        <v>593</v>
      </c>
      <c r="N93" s="42" t="s">
        <v>626</v>
      </c>
      <c r="O93" s="43" t="s">
        <v>771</v>
      </c>
      <c r="P93" s="43"/>
      <c r="Q93" s="43"/>
      <c r="R93" s="44"/>
      <c r="S93" s="45"/>
      <c r="T93" s="9"/>
      <c r="U93" s="9"/>
      <c r="V93" s="9"/>
      <c r="W93" s="9"/>
      <c r="X93" s="9"/>
      <c r="Y93" s="9"/>
      <c r="Z93" s="9"/>
      <c r="AA93" s="10"/>
      <c r="AB93" s="10"/>
      <c r="AC93" s="10"/>
      <c r="AD93" s="10"/>
      <c r="AE93" s="10"/>
    </row>
    <row r="94" spans="1:31" ht="24.95" customHeight="1" x14ac:dyDescent="0.25">
      <c r="A94" s="39">
        <v>106</v>
      </c>
      <c r="B94" s="38" t="s">
        <v>315</v>
      </c>
      <c r="C94" s="38" t="s">
        <v>694</v>
      </c>
      <c r="D94" s="38" t="s">
        <v>310</v>
      </c>
      <c r="E94" s="38" t="s">
        <v>263</v>
      </c>
      <c r="F94" s="39">
        <v>1</v>
      </c>
      <c r="G94" s="40" t="s">
        <v>621</v>
      </c>
      <c r="H94" s="40" t="s">
        <v>621</v>
      </c>
      <c r="I94" s="40" t="s">
        <v>621</v>
      </c>
      <c r="J94" s="41">
        <v>1</v>
      </c>
      <c r="K94" s="40" t="s">
        <v>621</v>
      </c>
      <c r="L94" s="40" t="s">
        <v>587</v>
      </c>
      <c r="M94" s="40" t="s">
        <v>593</v>
      </c>
      <c r="N94" s="42" t="s">
        <v>626</v>
      </c>
      <c r="O94" s="43" t="s">
        <v>771</v>
      </c>
      <c r="P94" s="43"/>
      <c r="Q94" s="43"/>
      <c r="R94" s="44"/>
      <c r="S94" s="45"/>
      <c r="T94" s="9"/>
      <c r="U94" s="9"/>
      <c r="V94" s="9"/>
      <c r="W94" s="9"/>
      <c r="X94" s="9"/>
      <c r="Y94" s="9"/>
      <c r="Z94" s="9"/>
      <c r="AA94" s="10"/>
      <c r="AB94" s="10"/>
      <c r="AC94" s="10"/>
      <c r="AD94" s="10"/>
      <c r="AE94" s="10"/>
    </row>
    <row r="95" spans="1:31" ht="24.95" customHeight="1" x14ac:dyDescent="0.25">
      <c r="A95" s="39">
        <v>107</v>
      </c>
      <c r="B95" s="38" t="s">
        <v>317</v>
      </c>
      <c r="C95" s="38" t="s">
        <v>695</v>
      </c>
      <c r="D95" s="38" t="s">
        <v>319</v>
      </c>
      <c r="E95" s="38" t="s">
        <v>263</v>
      </c>
      <c r="F95" s="39">
        <v>0</v>
      </c>
      <c r="G95" s="40" t="s">
        <v>132</v>
      </c>
      <c r="H95" s="40" t="s">
        <v>579</v>
      </c>
      <c r="I95" s="40" t="s">
        <v>579</v>
      </c>
      <c r="J95" s="41"/>
      <c r="K95" s="40" t="s">
        <v>677</v>
      </c>
      <c r="L95" s="40" t="s">
        <v>587</v>
      </c>
      <c r="M95" s="40" t="s">
        <v>582</v>
      </c>
      <c r="N95" s="42" t="s">
        <v>696</v>
      </c>
      <c r="O95" s="43" t="s">
        <v>771</v>
      </c>
      <c r="P95" s="43"/>
      <c r="Q95" s="43"/>
      <c r="R95" s="44"/>
      <c r="S95" s="45" t="s">
        <v>903</v>
      </c>
      <c r="T95" s="9"/>
      <c r="U95" s="9"/>
      <c r="V95" s="9"/>
      <c r="W95" s="9"/>
      <c r="X95" s="9"/>
      <c r="Y95" s="9"/>
      <c r="Z95" s="9"/>
      <c r="AA95" s="10"/>
      <c r="AB95" s="10"/>
      <c r="AC95" s="10"/>
      <c r="AD95" s="10"/>
      <c r="AE95" s="10"/>
    </row>
    <row r="96" spans="1:31" ht="24.95" customHeight="1" x14ac:dyDescent="0.25">
      <c r="A96" s="39">
        <v>108</v>
      </c>
      <c r="B96" s="38" t="s">
        <v>320</v>
      </c>
      <c r="C96" s="38" t="s">
        <v>321</v>
      </c>
      <c r="D96" s="38" t="s">
        <v>322</v>
      </c>
      <c r="E96" s="38" t="s">
        <v>263</v>
      </c>
      <c r="F96" s="39">
        <v>1</v>
      </c>
      <c r="G96" s="40" t="s">
        <v>621</v>
      </c>
      <c r="H96" s="40" t="s">
        <v>621</v>
      </c>
      <c r="I96" s="40" t="s">
        <v>621</v>
      </c>
      <c r="J96" s="41">
        <v>1</v>
      </c>
      <c r="K96" s="40" t="s">
        <v>621</v>
      </c>
      <c r="L96" s="40" t="s">
        <v>587</v>
      </c>
      <c r="M96" s="40" t="s">
        <v>593</v>
      </c>
      <c r="N96" s="42" t="s">
        <v>626</v>
      </c>
      <c r="O96" s="43" t="s">
        <v>771</v>
      </c>
      <c r="P96" s="43"/>
      <c r="Q96" s="43"/>
      <c r="R96" s="44"/>
      <c r="S96" s="45"/>
      <c r="T96" s="11" t="s">
        <v>609</v>
      </c>
      <c r="U96" s="9" t="s">
        <v>697</v>
      </c>
      <c r="V96" s="9">
        <v>3</v>
      </c>
      <c r="W96" s="9" t="s">
        <v>620</v>
      </c>
      <c r="X96" s="11" t="s">
        <v>698</v>
      </c>
      <c r="Y96" s="12" t="s">
        <v>699</v>
      </c>
      <c r="Z96" s="12" t="s">
        <v>700</v>
      </c>
      <c r="AA96" s="10"/>
      <c r="AB96" s="10"/>
      <c r="AC96" s="10"/>
      <c r="AD96" s="10"/>
      <c r="AE96" s="10" t="s">
        <v>584</v>
      </c>
    </row>
    <row r="97" spans="1:31" ht="24.95" customHeight="1" x14ac:dyDescent="0.25">
      <c r="A97" s="39">
        <v>109</v>
      </c>
      <c r="B97" s="38" t="s">
        <v>323</v>
      </c>
      <c r="C97" s="38" t="s">
        <v>324</v>
      </c>
      <c r="D97" s="38" t="s">
        <v>325</v>
      </c>
      <c r="E97" s="38" t="s">
        <v>263</v>
      </c>
      <c r="F97" s="39">
        <v>1</v>
      </c>
      <c r="G97" s="40" t="s">
        <v>621</v>
      </c>
      <c r="H97" s="40" t="s">
        <v>621</v>
      </c>
      <c r="I97" s="40" t="s">
        <v>621</v>
      </c>
      <c r="J97" s="41">
        <v>1</v>
      </c>
      <c r="K97" s="40" t="s">
        <v>621</v>
      </c>
      <c r="L97" s="40" t="s">
        <v>587</v>
      </c>
      <c r="M97" s="40" t="s">
        <v>593</v>
      </c>
      <c r="N97" s="42" t="s">
        <v>626</v>
      </c>
      <c r="O97" s="43" t="s">
        <v>771</v>
      </c>
      <c r="P97" s="43"/>
      <c r="Q97" s="43"/>
      <c r="R97" s="44"/>
      <c r="S97" s="45"/>
      <c r="T97" s="9"/>
      <c r="U97" s="9"/>
      <c r="V97" s="9"/>
      <c r="W97" s="9"/>
      <c r="X97" s="9"/>
      <c r="Y97" s="9"/>
      <c r="Z97" s="9"/>
      <c r="AA97" s="10"/>
      <c r="AB97" s="10"/>
      <c r="AC97" s="10"/>
      <c r="AD97" s="10"/>
      <c r="AE97" s="10"/>
    </row>
    <row r="98" spans="1:31" ht="24.95" customHeight="1" x14ac:dyDescent="0.25">
      <c r="A98" s="39">
        <v>110</v>
      </c>
      <c r="B98" s="38" t="s">
        <v>326</v>
      </c>
      <c r="C98" s="38" t="s">
        <v>701</v>
      </c>
      <c r="D98" s="38" t="s">
        <v>328</v>
      </c>
      <c r="E98" s="38" t="s">
        <v>263</v>
      </c>
      <c r="F98" s="39">
        <v>1</v>
      </c>
      <c r="G98" s="40" t="s">
        <v>621</v>
      </c>
      <c r="H98" s="40" t="s">
        <v>621</v>
      </c>
      <c r="I98" s="40" t="s">
        <v>621</v>
      </c>
      <c r="J98" s="41">
        <v>1</v>
      </c>
      <c r="K98" s="40" t="s">
        <v>621</v>
      </c>
      <c r="L98" s="40" t="s">
        <v>587</v>
      </c>
      <c r="M98" s="40" t="s">
        <v>593</v>
      </c>
      <c r="N98" s="42" t="s">
        <v>626</v>
      </c>
      <c r="O98" s="43" t="s">
        <v>771</v>
      </c>
      <c r="P98" s="43"/>
      <c r="Q98" s="43"/>
      <c r="R98" s="44"/>
      <c r="S98" s="45"/>
      <c r="T98" s="9"/>
      <c r="U98" s="9"/>
      <c r="V98" s="9"/>
      <c r="W98" s="9"/>
      <c r="X98" s="9"/>
      <c r="Y98" s="9"/>
      <c r="Z98" s="9"/>
      <c r="AA98" s="10"/>
      <c r="AB98" s="10"/>
      <c r="AC98" s="10"/>
      <c r="AD98" s="10"/>
      <c r="AE98" s="10"/>
    </row>
    <row r="99" spans="1:31" ht="24.95" customHeight="1" x14ac:dyDescent="0.25">
      <c r="A99" s="39">
        <v>111</v>
      </c>
      <c r="B99" s="38" t="s">
        <v>329</v>
      </c>
      <c r="C99" s="38" t="s">
        <v>330</v>
      </c>
      <c r="D99" s="38" t="s">
        <v>331</v>
      </c>
      <c r="E99" s="38" t="s">
        <v>263</v>
      </c>
      <c r="F99" s="39">
        <v>0</v>
      </c>
      <c r="G99" s="40" t="s">
        <v>621</v>
      </c>
      <c r="H99" s="40" t="s">
        <v>621</v>
      </c>
      <c r="I99" s="40" t="s">
        <v>621</v>
      </c>
      <c r="J99" s="41">
        <v>1</v>
      </c>
      <c r="K99" s="40" t="s">
        <v>621</v>
      </c>
      <c r="L99" s="40" t="s">
        <v>587</v>
      </c>
      <c r="M99" s="40" t="s">
        <v>582</v>
      </c>
      <c r="N99" s="42" t="s">
        <v>702</v>
      </c>
      <c r="O99" s="43" t="s">
        <v>771</v>
      </c>
      <c r="P99" s="43"/>
      <c r="Q99" s="43"/>
      <c r="R99" s="44"/>
      <c r="S99" s="45" t="s">
        <v>903</v>
      </c>
      <c r="T99" s="9"/>
      <c r="U99" s="9"/>
      <c r="V99" s="9"/>
      <c r="W99" s="9"/>
      <c r="X99" s="9"/>
      <c r="Y99" s="9"/>
      <c r="Z99" s="9"/>
      <c r="AA99" s="10"/>
      <c r="AB99" s="10"/>
      <c r="AC99" s="10"/>
      <c r="AD99" s="10"/>
      <c r="AE99" s="10"/>
    </row>
    <row r="100" spans="1:31" ht="24.95" customHeight="1" x14ac:dyDescent="0.25">
      <c r="A100" s="39">
        <v>112</v>
      </c>
      <c r="B100" s="38" t="s">
        <v>332</v>
      </c>
      <c r="C100" s="38" t="s">
        <v>333</v>
      </c>
      <c r="D100" s="38" t="s">
        <v>143</v>
      </c>
      <c r="E100" s="38" t="s">
        <v>263</v>
      </c>
      <c r="F100" s="39">
        <v>1</v>
      </c>
      <c r="G100" s="40" t="s">
        <v>621</v>
      </c>
      <c r="H100" s="40" t="s">
        <v>621</v>
      </c>
      <c r="I100" s="40" t="s">
        <v>621</v>
      </c>
      <c r="J100" s="41">
        <v>1</v>
      </c>
      <c r="K100" s="40" t="s">
        <v>621</v>
      </c>
      <c r="L100" s="40" t="s">
        <v>587</v>
      </c>
      <c r="M100" s="40" t="s">
        <v>593</v>
      </c>
      <c r="N100" s="42" t="s">
        <v>626</v>
      </c>
      <c r="O100" s="43" t="s">
        <v>771</v>
      </c>
      <c r="P100" s="43"/>
      <c r="Q100" s="43"/>
      <c r="R100" s="44"/>
      <c r="S100" s="45"/>
      <c r="T100" s="9"/>
      <c r="U100" s="9"/>
      <c r="V100" s="9"/>
      <c r="W100" s="9"/>
      <c r="X100" s="9"/>
      <c r="Y100" s="9"/>
      <c r="Z100" s="9"/>
      <c r="AA100" s="10"/>
      <c r="AB100" s="10"/>
      <c r="AC100" s="10"/>
      <c r="AD100" s="10"/>
      <c r="AE100" s="10"/>
    </row>
    <row r="101" spans="1:31" ht="24.95" customHeight="1" x14ac:dyDescent="0.25">
      <c r="A101" s="39">
        <v>113</v>
      </c>
      <c r="B101" s="38" t="s">
        <v>334</v>
      </c>
      <c r="C101" s="38" t="s">
        <v>335</v>
      </c>
      <c r="D101" s="38" t="s">
        <v>336</v>
      </c>
      <c r="E101" s="38" t="s">
        <v>263</v>
      </c>
      <c r="F101" s="39">
        <v>1</v>
      </c>
      <c r="G101" s="40" t="s">
        <v>621</v>
      </c>
      <c r="H101" s="40" t="s">
        <v>621</v>
      </c>
      <c r="I101" s="40" t="s">
        <v>621</v>
      </c>
      <c r="J101" s="41">
        <v>1</v>
      </c>
      <c r="K101" s="40" t="s">
        <v>621</v>
      </c>
      <c r="L101" s="40" t="s">
        <v>587</v>
      </c>
      <c r="M101" s="40" t="s">
        <v>593</v>
      </c>
      <c r="N101" s="42" t="s">
        <v>626</v>
      </c>
      <c r="O101" s="43" t="s">
        <v>771</v>
      </c>
      <c r="P101" s="43"/>
      <c r="Q101" s="43"/>
      <c r="R101" s="44"/>
      <c r="S101" s="45"/>
      <c r="T101" s="9"/>
      <c r="U101" s="9"/>
      <c r="V101" s="9"/>
      <c r="W101" s="9"/>
      <c r="X101" s="9"/>
      <c r="Y101" s="9"/>
      <c r="Z101" s="9"/>
      <c r="AA101" s="10"/>
      <c r="AB101" s="10"/>
      <c r="AC101" s="10"/>
      <c r="AD101" s="10"/>
      <c r="AE101" s="10"/>
    </row>
    <row r="102" spans="1:31" ht="24.95" customHeight="1" x14ac:dyDescent="0.25">
      <c r="A102" s="39">
        <v>114</v>
      </c>
      <c r="B102" s="38" t="s">
        <v>337</v>
      </c>
      <c r="C102" s="38" t="s">
        <v>703</v>
      </c>
      <c r="D102" s="38" t="s">
        <v>339</v>
      </c>
      <c r="E102" s="38" t="s">
        <v>263</v>
      </c>
      <c r="F102" s="39">
        <v>1</v>
      </c>
      <c r="G102" s="40" t="s">
        <v>621</v>
      </c>
      <c r="H102" s="40" t="s">
        <v>621</v>
      </c>
      <c r="I102" s="40" t="s">
        <v>621</v>
      </c>
      <c r="J102" s="41">
        <v>1</v>
      </c>
      <c r="K102" s="40" t="s">
        <v>621</v>
      </c>
      <c r="L102" s="40" t="s">
        <v>587</v>
      </c>
      <c r="M102" s="40" t="s">
        <v>593</v>
      </c>
      <c r="N102" s="42" t="s">
        <v>626</v>
      </c>
      <c r="O102" s="43" t="s">
        <v>771</v>
      </c>
      <c r="P102" s="43"/>
      <c r="Q102" s="43"/>
      <c r="R102" s="44"/>
      <c r="S102" s="45"/>
      <c r="T102" s="9"/>
      <c r="U102" s="9"/>
      <c r="V102" s="9"/>
      <c r="W102" s="9"/>
      <c r="X102" s="9"/>
      <c r="Y102" s="9"/>
      <c r="Z102" s="9"/>
      <c r="AA102" s="10"/>
      <c r="AB102" s="10"/>
      <c r="AC102" s="10"/>
      <c r="AD102" s="10"/>
      <c r="AE102" s="10"/>
    </row>
    <row r="103" spans="1:31" ht="24.95" customHeight="1" x14ac:dyDescent="0.25">
      <c r="A103" s="39">
        <v>115</v>
      </c>
      <c r="B103" s="38" t="s">
        <v>340</v>
      </c>
      <c r="C103" s="38" t="s">
        <v>704</v>
      </c>
      <c r="D103" s="38" t="s">
        <v>342</v>
      </c>
      <c r="E103" s="38" t="s">
        <v>263</v>
      </c>
      <c r="F103" s="39">
        <v>1</v>
      </c>
      <c r="G103" s="40" t="s">
        <v>621</v>
      </c>
      <c r="H103" s="40" t="s">
        <v>621</v>
      </c>
      <c r="I103" s="40" t="s">
        <v>621</v>
      </c>
      <c r="J103" s="41">
        <v>1</v>
      </c>
      <c r="K103" s="40" t="s">
        <v>621</v>
      </c>
      <c r="L103" s="40" t="s">
        <v>587</v>
      </c>
      <c r="M103" s="40" t="s">
        <v>593</v>
      </c>
      <c r="N103" s="42" t="s">
        <v>626</v>
      </c>
      <c r="O103" s="43" t="s">
        <v>771</v>
      </c>
      <c r="P103" s="43"/>
      <c r="Q103" s="43"/>
      <c r="R103" s="44"/>
      <c r="S103" s="45"/>
      <c r="T103" s="9"/>
      <c r="U103" s="9"/>
      <c r="V103" s="9"/>
      <c r="W103" s="9"/>
      <c r="X103" s="9"/>
      <c r="Y103" s="9"/>
      <c r="Z103" s="9"/>
      <c r="AA103" s="10"/>
      <c r="AB103" s="10"/>
      <c r="AC103" s="10"/>
      <c r="AD103" s="10"/>
      <c r="AE103" s="10"/>
    </row>
    <row r="104" spans="1:31" ht="24.95" customHeight="1" x14ac:dyDescent="0.25">
      <c r="A104" s="39">
        <v>116</v>
      </c>
      <c r="B104" s="38" t="s">
        <v>343</v>
      </c>
      <c r="C104" s="38" t="s">
        <v>344</v>
      </c>
      <c r="D104" s="38" t="s">
        <v>344</v>
      </c>
      <c r="E104" s="38" t="s">
        <v>263</v>
      </c>
      <c r="F104" s="39">
        <v>0</v>
      </c>
      <c r="G104" s="40" t="s">
        <v>132</v>
      </c>
      <c r="H104" s="40" t="s">
        <v>629</v>
      </c>
      <c r="I104" s="40" t="s">
        <v>629</v>
      </c>
      <c r="J104" s="41"/>
      <c r="K104" s="40" t="s">
        <v>677</v>
      </c>
      <c r="L104" s="40" t="s">
        <v>587</v>
      </c>
      <c r="M104" s="40" t="s">
        <v>582</v>
      </c>
      <c r="N104" s="42" t="s">
        <v>705</v>
      </c>
      <c r="O104" s="43" t="s">
        <v>773</v>
      </c>
      <c r="P104" s="43"/>
      <c r="Q104" s="43"/>
      <c r="R104" s="44"/>
      <c r="S104" s="45"/>
      <c r="T104" s="9"/>
      <c r="U104" s="9"/>
      <c r="V104" s="9"/>
      <c r="W104" s="9"/>
      <c r="X104" s="9"/>
      <c r="Y104" s="9"/>
      <c r="Z104" s="9"/>
      <c r="AA104" s="10"/>
      <c r="AB104" s="10"/>
      <c r="AC104" s="10"/>
      <c r="AD104" s="10"/>
      <c r="AE104" s="10"/>
    </row>
    <row r="105" spans="1:31" ht="24.95" customHeight="1" x14ac:dyDescent="0.25">
      <c r="A105" s="39">
        <v>117</v>
      </c>
      <c r="B105" s="38" t="s">
        <v>345</v>
      </c>
      <c r="C105" s="38" t="s">
        <v>346</v>
      </c>
      <c r="D105" s="38" t="s">
        <v>347</v>
      </c>
      <c r="E105" s="38" t="s">
        <v>263</v>
      </c>
      <c r="F105" s="39">
        <v>1</v>
      </c>
      <c r="G105" s="40" t="s">
        <v>621</v>
      </c>
      <c r="H105" s="40" t="s">
        <v>621</v>
      </c>
      <c r="I105" s="40" t="s">
        <v>621</v>
      </c>
      <c r="J105" s="41">
        <v>1</v>
      </c>
      <c r="K105" s="40" t="s">
        <v>621</v>
      </c>
      <c r="L105" s="40" t="s">
        <v>587</v>
      </c>
      <c r="M105" s="40" t="s">
        <v>593</v>
      </c>
      <c r="N105" s="42" t="s">
        <v>626</v>
      </c>
      <c r="O105" s="43" t="s">
        <v>771</v>
      </c>
      <c r="P105" s="43"/>
      <c r="Q105" s="43"/>
      <c r="R105" s="44"/>
      <c r="S105" s="45"/>
      <c r="T105" s="9"/>
      <c r="U105" s="9"/>
      <c r="V105" s="9"/>
      <c r="W105" s="9"/>
      <c r="X105" s="9"/>
      <c r="Y105" s="9"/>
      <c r="Z105" s="9"/>
      <c r="AA105" s="10"/>
      <c r="AB105" s="10"/>
      <c r="AC105" s="10"/>
      <c r="AD105" s="10"/>
      <c r="AE105" s="10"/>
    </row>
    <row r="106" spans="1:31" ht="24.95" customHeight="1" x14ac:dyDescent="0.25">
      <c r="A106" s="39">
        <v>118</v>
      </c>
      <c r="B106" s="38" t="s">
        <v>348</v>
      </c>
      <c r="C106" s="38" t="s">
        <v>348</v>
      </c>
      <c r="D106" s="38" t="s">
        <v>348</v>
      </c>
      <c r="E106" s="38" t="s">
        <v>263</v>
      </c>
      <c r="F106" s="39">
        <v>1</v>
      </c>
      <c r="G106" s="40" t="s">
        <v>621</v>
      </c>
      <c r="H106" s="40" t="s">
        <v>621</v>
      </c>
      <c r="I106" s="40" t="s">
        <v>621</v>
      </c>
      <c r="J106" s="41">
        <v>1</v>
      </c>
      <c r="K106" s="40" t="s">
        <v>621</v>
      </c>
      <c r="L106" s="40" t="s">
        <v>587</v>
      </c>
      <c r="M106" s="40" t="s">
        <v>593</v>
      </c>
      <c r="N106" s="42" t="s">
        <v>626</v>
      </c>
      <c r="O106" s="43" t="s">
        <v>771</v>
      </c>
      <c r="P106" s="43"/>
      <c r="Q106" s="43"/>
      <c r="R106" s="44"/>
      <c r="S106" s="45"/>
      <c r="T106" s="9"/>
      <c r="U106" s="9"/>
      <c r="V106" s="9"/>
      <c r="W106" s="9"/>
      <c r="X106" s="9"/>
      <c r="Y106" s="9"/>
      <c r="Z106" s="9"/>
      <c r="AA106" s="10"/>
      <c r="AB106" s="10"/>
      <c r="AC106" s="10"/>
      <c r="AD106" s="10"/>
      <c r="AE106" s="10"/>
    </row>
    <row r="107" spans="1:31" ht="24.95" customHeight="1" x14ac:dyDescent="0.25">
      <c r="A107" s="39">
        <v>119</v>
      </c>
      <c r="B107" s="38" t="s">
        <v>349</v>
      </c>
      <c r="C107" s="38" t="s">
        <v>349</v>
      </c>
      <c r="D107" s="38" t="s">
        <v>350</v>
      </c>
      <c r="E107" s="38" t="s">
        <v>263</v>
      </c>
      <c r="F107" s="39">
        <v>1</v>
      </c>
      <c r="G107" s="40" t="s">
        <v>621</v>
      </c>
      <c r="H107" s="40" t="s">
        <v>621</v>
      </c>
      <c r="I107" s="40" t="s">
        <v>621</v>
      </c>
      <c r="J107" s="41">
        <v>1</v>
      </c>
      <c r="K107" s="40" t="s">
        <v>621</v>
      </c>
      <c r="L107" s="40" t="s">
        <v>587</v>
      </c>
      <c r="M107" s="40" t="s">
        <v>593</v>
      </c>
      <c r="N107" s="42" t="s">
        <v>626</v>
      </c>
      <c r="O107" s="43" t="s">
        <v>771</v>
      </c>
      <c r="P107" s="43"/>
      <c r="Q107" s="43"/>
      <c r="R107" s="44"/>
      <c r="S107" s="45"/>
      <c r="T107" s="11" t="s">
        <v>604</v>
      </c>
      <c r="U107" s="9"/>
      <c r="V107" s="9"/>
      <c r="W107" s="9"/>
      <c r="X107" s="9"/>
      <c r="Y107" s="12" t="s">
        <v>706</v>
      </c>
      <c r="Z107" s="12" t="s">
        <v>606</v>
      </c>
      <c r="AA107" s="10"/>
      <c r="AB107" s="10"/>
      <c r="AC107" s="10"/>
      <c r="AD107" s="10"/>
      <c r="AE107" s="10"/>
    </row>
    <row r="108" spans="1:31" ht="24.95" customHeight="1" x14ac:dyDescent="0.25">
      <c r="A108" s="39">
        <v>120</v>
      </c>
      <c r="B108" s="38" t="s">
        <v>351</v>
      </c>
      <c r="C108" s="38" t="s">
        <v>352</v>
      </c>
      <c r="D108" s="38" t="s">
        <v>353</v>
      </c>
      <c r="E108" s="38" t="s">
        <v>263</v>
      </c>
      <c r="F108" s="39">
        <v>1</v>
      </c>
      <c r="G108" s="40" t="s">
        <v>621</v>
      </c>
      <c r="H108" s="40" t="s">
        <v>621</v>
      </c>
      <c r="I108" s="40" t="s">
        <v>621</v>
      </c>
      <c r="J108" s="41">
        <v>1</v>
      </c>
      <c r="K108" s="40" t="s">
        <v>621</v>
      </c>
      <c r="L108" s="40" t="s">
        <v>587</v>
      </c>
      <c r="M108" s="40" t="s">
        <v>593</v>
      </c>
      <c r="N108" s="42" t="s">
        <v>626</v>
      </c>
      <c r="O108" s="43" t="s">
        <v>771</v>
      </c>
      <c r="P108" s="43"/>
      <c r="Q108" s="43"/>
      <c r="R108" s="44"/>
      <c r="S108" s="45"/>
      <c r="T108" s="9"/>
      <c r="U108" s="9"/>
      <c r="V108" s="9"/>
      <c r="W108" s="9"/>
      <c r="X108" s="9"/>
      <c r="Y108" s="9"/>
      <c r="Z108" s="9"/>
      <c r="AA108" s="10"/>
      <c r="AB108" s="10"/>
      <c r="AC108" s="10"/>
      <c r="AD108" s="10"/>
      <c r="AE108" s="10"/>
    </row>
    <row r="109" spans="1:31" ht="24.95" customHeight="1" x14ac:dyDescent="0.25">
      <c r="A109" s="39">
        <v>121</v>
      </c>
      <c r="B109" s="38" t="s">
        <v>354</v>
      </c>
      <c r="C109" s="38" t="s">
        <v>355</v>
      </c>
      <c r="D109" s="38" t="s">
        <v>356</v>
      </c>
      <c r="E109" s="38" t="s">
        <v>263</v>
      </c>
      <c r="F109" s="39">
        <v>1</v>
      </c>
      <c r="G109" s="40" t="s">
        <v>621</v>
      </c>
      <c r="H109" s="40" t="s">
        <v>621</v>
      </c>
      <c r="I109" s="40" t="s">
        <v>621</v>
      </c>
      <c r="J109" s="41">
        <v>1</v>
      </c>
      <c r="K109" s="40" t="s">
        <v>621</v>
      </c>
      <c r="L109" s="40" t="s">
        <v>587</v>
      </c>
      <c r="M109" s="40" t="s">
        <v>593</v>
      </c>
      <c r="N109" s="42" t="s">
        <v>626</v>
      </c>
      <c r="O109" s="43" t="s">
        <v>771</v>
      </c>
      <c r="P109" s="43"/>
      <c r="Q109" s="43"/>
      <c r="R109" s="44"/>
      <c r="S109" s="45"/>
      <c r="T109" s="9"/>
      <c r="U109" s="9"/>
      <c r="V109" s="9"/>
      <c r="W109" s="9"/>
      <c r="X109" s="9"/>
      <c r="Y109" s="9"/>
      <c r="Z109" s="9"/>
      <c r="AA109" s="10"/>
      <c r="AB109" s="10"/>
      <c r="AC109" s="10"/>
      <c r="AD109" s="10"/>
      <c r="AE109" s="10"/>
    </row>
    <row r="110" spans="1:31" ht="24.95" customHeight="1" x14ac:dyDescent="0.25">
      <c r="A110" s="39">
        <v>122</v>
      </c>
      <c r="B110" s="38" t="s">
        <v>357</v>
      </c>
      <c r="C110" s="38" t="s">
        <v>707</v>
      </c>
      <c r="D110" s="38" t="s">
        <v>339</v>
      </c>
      <c r="E110" s="38" t="s">
        <v>263</v>
      </c>
      <c r="F110" s="39">
        <v>0</v>
      </c>
      <c r="G110" s="40" t="s">
        <v>621</v>
      </c>
      <c r="H110" s="40" t="s">
        <v>621</v>
      </c>
      <c r="I110" s="40" t="s">
        <v>621</v>
      </c>
      <c r="J110" s="41">
        <v>1</v>
      </c>
      <c r="K110" s="40" t="s">
        <v>621</v>
      </c>
      <c r="L110" s="40" t="s">
        <v>587</v>
      </c>
      <c r="M110" s="40" t="s">
        <v>582</v>
      </c>
      <c r="N110" s="42" t="s">
        <v>702</v>
      </c>
      <c r="O110" s="43" t="s">
        <v>771</v>
      </c>
      <c r="P110" s="43"/>
      <c r="Q110" s="43"/>
      <c r="R110" s="44"/>
      <c r="S110" s="45" t="s">
        <v>903</v>
      </c>
      <c r="T110" s="11" t="s">
        <v>609</v>
      </c>
      <c r="U110" s="9" t="s">
        <v>708</v>
      </c>
      <c r="V110" s="9">
        <v>3</v>
      </c>
      <c r="W110" s="9" t="s">
        <v>620</v>
      </c>
      <c r="X110" s="11" t="s">
        <v>698</v>
      </c>
      <c r="Y110" s="12" t="s">
        <v>709</v>
      </c>
      <c r="Z110" s="12" t="s">
        <v>710</v>
      </c>
      <c r="AA110" s="10"/>
      <c r="AB110" s="10"/>
      <c r="AC110" s="10"/>
      <c r="AD110" s="10"/>
      <c r="AE110" s="10" t="s">
        <v>584</v>
      </c>
    </row>
    <row r="111" spans="1:31" ht="24.95" customHeight="1" x14ac:dyDescent="0.25">
      <c r="A111" s="39">
        <v>123</v>
      </c>
      <c r="B111" s="38" t="s">
        <v>359</v>
      </c>
      <c r="C111" s="38" t="s">
        <v>711</v>
      </c>
      <c r="D111" s="38" t="s">
        <v>361</v>
      </c>
      <c r="E111" s="38" t="s">
        <v>263</v>
      </c>
      <c r="F111" s="39">
        <v>1</v>
      </c>
      <c r="G111" s="40" t="s">
        <v>621</v>
      </c>
      <c r="H111" s="40" t="s">
        <v>621</v>
      </c>
      <c r="I111" s="40" t="s">
        <v>621</v>
      </c>
      <c r="J111" s="41">
        <v>1</v>
      </c>
      <c r="K111" s="40" t="s">
        <v>621</v>
      </c>
      <c r="L111" s="40" t="s">
        <v>587</v>
      </c>
      <c r="M111" s="40" t="s">
        <v>593</v>
      </c>
      <c r="N111" s="42" t="s">
        <v>626</v>
      </c>
      <c r="O111" s="43" t="s">
        <v>771</v>
      </c>
      <c r="P111" s="43"/>
      <c r="Q111" s="43"/>
      <c r="R111" s="44"/>
      <c r="S111" s="45"/>
      <c r="T111" s="11" t="s">
        <v>609</v>
      </c>
      <c r="U111" s="9" t="s">
        <v>712</v>
      </c>
      <c r="V111" s="9" t="s">
        <v>672</v>
      </c>
      <c r="W111" s="9" t="s">
        <v>672</v>
      </c>
      <c r="X111" s="11" t="s">
        <v>663</v>
      </c>
      <c r="Y111" s="12" t="s">
        <v>713</v>
      </c>
      <c r="Z111" s="12" t="s">
        <v>714</v>
      </c>
      <c r="AA111" s="10"/>
      <c r="AB111" s="10"/>
      <c r="AC111" s="10"/>
      <c r="AD111" s="10"/>
      <c r="AE111" s="10" t="s">
        <v>584</v>
      </c>
    </row>
    <row r="112" spans="1:31" ht="24.95" customHeight="1" x14ac:dyDescent="0.25">
      <c r="A112" s="39">
        <v>125</v>
      </c>
      <c r="B112" s="38" t="s">
        <v>364</v>
      </c>
      <c r="C112" s="38" t="s">
        <v>365</v>
      </c>
      <c r="D112" s="38" t="s">
        <v>307</v>
      </c>
      <c r="E112" s="38" t="s">
        <v>263</v>
      </c>
      <c r="F112" s="39">
        <v>1</v>
      </c>
      <c r="G112" s="40" t="s">
        <v>621</v>
      </c>
      <c r="H112" s="40" t="s">
        <v>621</v>
      </c>
      <c r="I112" s="40" t="s">
        <v>621</v>
      </c>
      <c r="J112" s="41">
        <v>1</v>
      </c>
      <c r="K112" s="40" t="s">
        <v>621</v>
      </c>
      <c r="L112" s="40" t="s">
        <v>587</v>
      </c>
      <c r="M112" s="40" t="s">
        <v>593</v>
      </c>
      <c r="N112" s="42" t="s">
        <v>626</v>
      </c>
      <c r="O112" s="43" t="s">
        <v>771</v>
      </c>
      <c r="P112" s="43"/>
      <c r="Q112" s="43"/>
      <c r="R112" s="44"/>
      <c r="S112" s="45"/>
      <c r="T112" s="9"/>
      <c r="U112" s="9"/>
      <c r="V112" s="9"/>
      <c r="W112" s="9"/>
      <c r="X112" s="9"/>
      <c r="Y112" s="9"/>
      <c r="Z112" s="9"/>
      <c r="AA112" s="10"/>
      <c r="AB112" s="10"/>
      <c r="AC112" s="10"/>
      <c r="AD112" s="10"/>
      <c r="AE112" s="10"/>
    </row>
    <row r="113" spans="1:31" ht="24.95" customHeight="1" x14ac:dyDescent="0.25">
      <c r="A113" s="39">
        <v>126</v>
      </c>
      <c r="B113" s="38" t="s">
        <v>366</v>
      </c>
      <c r="C113" s="38" t="s">
        <v>366</v>
      </c>
      <c r="D113" s="38" t="s">
        <v>367</v>
      </c>
      <c r="E113" s="38" t="s">
        <v>263</v>
      </c>
      <c r="F113" s="39">
        <v>1</v>
      </c>
      <c r="G113" s="40" t="s">
        <v>621</v>
      </c>
      <c r="H113" s="40" t="s">
        <v>715</v>
      </c>
      <c r="I113" s="40" t="s">
        <v>715</v>
      </c>
      <c r="J113" s="41"/>
      <c r="K113" s="40" t="s">
        <v>630</v>
      </c>
      <c r="L113" s="40" t="s">
        <v>587</v>
      </c>
      <c r="M113" s="40" t="s">
        <v>582</v>
      </c>
      <c r="N113" s="42" t="s">
        <v>716</v>
      </c>
      <c r="O113" s="43" t="s">
        <v>771</v>
      </c>
      <c r="P113" s="43"/>
      <c r="Q113" s="43"/>
      <c r="R113" s="44"/>
      <c r="S113" s="45" t="s">
        <v>907</v>
      </c>
      <c r="T113" s="9"/>
      <c r="U113" s="9"/>
      <c r="V113" s="9"/>
      <c r="W113" s="9"/>
      <c r="X113" s="9"/>
      <c r="Y113" s="9"/>
      <c r="Z113" s="9"/>
      <c r="AA113" s="10"/>
      <c r="AB113" s="10"/>
      <c r="AC113" s="10"/>
      <c r="AD113" s="10"/>
      <c r="AE113" s="10"/>
    </row>
    <row r="114" spans="1:31" ht="24.95" customHeight="1" x14ac:dyDescent="0.25">
      <c r="A114" s="39">
        <v>127</v>
      </c>
      <c r="B114" s="38" t="s">
        <v>368</v>
      </c>
      <c r="C114" s="38" t="s">
        <v>369</v>
      </c>
      <c r="D114" s="38" t="s">
        <v>370</v>
      </c>
      <c r="E114" s="38" t="s">
        <v>263</v>
      </c>
      <c r="F114" s="39">
        <v>1</v>
      </c>
      <c r="G114" s="40" t="s">
        <v>621</v>
      </c>
      <c r="H114" s="40" t="s">
        <v>621</v>
      </c>
      <c r="I114" s="40" t="s">
        <v>621</v>
      </c>
      <c r="J114" s="41">
        <v>1</v>
      </c>
      <c r="K114" s="40" t="s">
        <v>621</v>
      </c>
      <c r="L114" s="40" t="s">
        <v>587</v>
      </c>
      <c r="M114" s="40" t="s">
        <v>593</v>
      </c>
      <c r="N114" s="42" t="s">
        <v>626</v>
      </c>
      <c r="O114" s="43" t="s">
        <v>771</v>
      </c>
      <c r="P114" s="43"/>
      <c r="Q114" s="43"/>
      <c r="R114" s="44"/>
      <c r="S114" s="45"/>
      <c r="T114" s="9"/>
      <c r="U114" s="9"/>
      <c r="V114" s="9"/>
      <c r="W114" s="9"/>
      <c r="X114" s="9"/>
      <c r="Y114" s="9"/>
      <c r="Z114" s="9"/>
      <c r="AA114" s="10"/>
      <c r="AB114" s="10"/>
      <c r="AC114" s="10"/>
      <c r="AD114" s="10"/>
      <c r="AE114" s="10"/>
    </row>
    <row r="115" spans="1:31" ht="24.95" customHeight="1" x14ac:dyDescent="0.25">
      <c r="A115" s="39">
        <v>128</v>
      </c>
      <c r="B115" s="38" t="s">
        <v>371</v>
      </c>
      <c r="C115" s="38" t="s">
        <v>372</v>
      </c>
      <c r="D115" s="38" t="s">
        <v>373</v>
      </c>
      <c r="E115" s="38" t="s">
        <v>263</v>
      </c>
      <c r="F115" s="39">
        <v>1</v>
      </c>
      <c r="G115" s="40" t="s">
        <v>621</v>
      </c>
      <c r="H115" s="40" t="s">
        <v>621</v>
      </c>
      <c r="I115" s="40" t="s">
        <v>621</v>
      </c>
      <c r="J115" s="41">
        <v>1</v>
      </c>
      <c r="K115" s="40" t="s">
        <v>621</v>
      </c>
      <c r="L115" s="40" t="s">
        <v>587</v>
      </c>
      <c r="M115" s="40" t="s">
        <v>593</v>
      </c>
      <c r="N115" s="42" t="s">
        <v>626</v>
      </c>
      <c r="O115" s="43" t="s">
        <v>771</v>
      </c>
      <c r="P115" s="43"/>
      <c r="Q115" s="43"/>
      <c r="R115" s="44"/>
      <c r="S115" s="45"/>
      <c r="T115" s="9"/>
      <c r="U115" s="9"/>
      <c r="V115" s="9"/>
      <c r="W115" s="9"/>
      <c r="X115" s="9"/>
      <c r="Y115" s="9"/>
      <c r="Z115" s="9"/>
      <c r="AA115" s="10"/>
      <c r="AB115" s="10"/>
      <c r="AC115" s="10"/>
      <c r="AD115" s="10"/>
      <c r="AE115" s="10"/>
    </row>
    <row r="116" spans="1:31" ht="24.95" customHeight="1" x14ac:dyDescent="0.25">
      <c r="A116" s="39">
        <v>129</v>
      </c>
      <c r="B116" s="38" t="s">
        <v>374</v>
      </c>
      <c r="C116" s="38" t="s">
        <v>375</v>
      </c>
      <c r="D116" s="38" t="s">
        <v>376</v>
      </c>
      <c r="E116" s="38" t="s">
        <v>263</v>
      </c>
      <c r="F116" s="39">
        <v>1</v>
      </c>
      <c r="G116" s="40" t="s">
        <v>621</v>
      </c>
      <c r="H116" s="40" t="s">
        <v>621</v>
      </c>
      <c r="I116" s="40" t="s">
        <v>621</v>
      </c>
      <c r="J116" s="41">
        <v>1</v>
      </c>
      <c r="K116" s="40" t="s">
        <v>621</v>
      </c>
      <c r="L116" s="40" t="s">
        <v>587</v>
      </c>
      <c r="M116" s="40" t="s">
        <v>593</v>
      </c>
      <c r="N116" s="42" t="s">
        <v>626</v>
      </c>
      <c r="O116" s="43" t="s">
        <v>771</v>
      </c>
      <c r="P116" s="43"/>
      <c r="Q116" s="43"/>
      <c r="R116" s="44"/>
      <c r="S116" s="45"/>
      <c r="T116" s="9"/>
      <c r="U116" s="9"/>
      <c r="V116" s="9"/>
      <c r="W116" s="9"/>
      <c r="X116" s="9"/>
      <c r="Y116" s="9"/>
      <c r="Z116" s="9"/>
      <c r="AA116" s="10"/>
      <c r="AB116" s="10"/>
      <c r="AC116" s="10"/>
      <c r="AD116" s="10"/>
      <c r="AE116" s="10"/>
    </row>
    <row r="117" spans="1:31" ht="24.95" customHeight="1" x14ac:dyDescent="0.25">
      <c r="A117" s="39">
        <v>130</v>
      </c>
      <c r="B117" s="38" t="s">
        <v>377</v>
      </c>
      <c r="C117" s="38" t="s">
        <v>378</v>
      </c>
      <c r="D117" s="38" t="s">
        <v>379</v>
      </c>
      <c r="E117" s="38" t="s">
        <v>263</v>
      </c>
      <c r="F117" s="39">
        <v>1</v>
      </c>
      <c r="G117" s="40" t="s">
        <v>621</v>
      </c>
      <c r="H117" s="40" t="s">
        <v>621</v>
      </c>
      <c r="I117" s="40" t="s">
        <v>621</v>
      </c>
      <c r="J117" s="41">
        <v>1</v>
      </c>
      <c r="K117" s="40" t="s">
        <v>621</v>
      </c>
      <c r="L117" s="40" t="s">
        <v>587</v>
      </c>
      <c r="M117" s="40" t="s">
        <v>593</v>
      </c>
      <c r="N117" s="42" t="s">
        <v>626</v>
      </c>
      <c r="O117" s="43" t="s">
        <v>771</v>
      </c>
      <c r="P117" s="43"/>
      <c r="Q117" s="43"/>
      <c r="R117" s="44"/>
      <c r="S117" s="45"/>
      <c r="T117" s="9"/>
      <c r="U117" s="9"/>
      <c r="V117" s="9"/>
      <c r="W117" s="9"/>
      <c r="X117" s="9"/>
      <c r="Y117" s="9"/>
      <c r="Z117" s="9"/>
      <c r="AA117" s="10"/>
      <c r="AB117" s="10"/>
      <c r="AC117" s="10"/>
      <c r="AD117" s="10"/>
      <c r="AE117" s="10"/>
    </row>
    <row r="118" spans="1:31" ht="24.95" customHeight="1" x14ac:dyDescent="0.25">
      <c r="A118" s="39">
        <v>131</v>
      </c>
      <c r="B118" s="38" t="s">
        <v>380</v>
      </c>
      <c r="C118" s="38" t="s">
        <v>381</v>
      </c>
      <c r="D118" s="38" t="s">
        <v>382</v>
      </c>
      <c r="E118" s="38" t="s">
        <v>263</v>
      </c>
      <c r="F118" s="39">
        <v>1</v>
      </c>
      <c r="G118" s="40" t="s">
        <v>621</v>
      </c>
      <c r="H118" s="40" t="s">
        <v>621</v>
      </c>
      <c r="I118" s="40" t="s">
        <v>621</v>
      </c>
      <c r="J118" s="41">
        <v>1</v>
      </c>
      <c r="K118" s="40" t="s">
        <v>621</v>
      </c>
      <c r="L118" s="40" t="s">
        <v>587</v>
      </c>
      <c r="M118" s="40" t="s">
        <v>593</v>
      </c>
      <c r="N118" s="42" t="s">
        <v>626</v>
      </c>
      <c r="O118" s="43" t="s">
        <v>771</v>
      </c>
      <c r="P118" s="43"/>
      <c r="Q118" s="43"/>
      <c r="R118" s="44"/>
      <c r="S118" s="45"/>
      <c r="T118" s="9"/>
      <c r="U118" s="9"/>
      <c r="V118" s="9"/>
      <c r="W118" s="9"/>
      <c r="X118" s="9"/>
      <c r="Y118" s="9"/>
      <c r="Z118" s="9"/>
      <c r="AA118" s="10"/>
      <c r="AB118" s="10"/>
      <c r="AC118" s="10"/>
      <c r="AD118" s="10"/>
      <c r="AE118" s="10"/>
    </row>
    <row r="119" spans="1:31" ht="24.95" customHeight="1" x14ac:dyDescent="0.25">
      <c r="A119" s="39">
        <v>132</v>
      </c>
      <c r="B119" s="38" t="s">
        <v>384</v>
      </c>
      <c r="C119" s="38" t="s">
        <v>384</v>
      </c>
      <c r="D119" s="38" t="s">
        <v>385</v>
      </c>
      <c r="E119" s="38" t="s">
        <v>263</v>
      </c>
      <c r="F119" s="39">
        <v>0</v>
      </c>
      <c r="G119" s="40" t="s">
        <v>621</v>
      </c>
      <c r="H119" s="40" t="s">
        <v>621</v>
      </c>
      <c r="I119" s="40" t="s">
        <v>621</v>
      </c>
      <c r="J119" s="41">
        <v>1</v>
      </c>
      <c r="K119" s="40" t="s">
        <v>621</v>
      </c>
      <c r="L119" s="40" t="s">
        <v>587</v>
      </c>
      <c r="M119" s="40" t="s">
        <v>582</v>
      </c>
      <c r="N119" s="42" t="s">
        <v>702</v>
      </c>
      <c r="O119" s="43" t="s">
        <v>771</v>
      </c>
      <c r="P119" s="43"/>
      <c r="Q119" s="43"/>
      <c r="R119" s="44"/>
      <c r="S119" s="45" t="s">
        <v>908</v>
      </c>
      <c r="T119" s="9"/>
      <c r="U119" s="9"/>
      <c r="V119" s="9"/>
      <c r="W119" s="9"/>
      <c r="X119" s="9"/>
      <c r="Y119" s="9"/>
      <c r="Z119" s="9"/>
      <c r="AA119" s="10"/>
      <c r="AB119" s="10"/>
      <c r="AC119" s="10"/>
      <c r="AD119" s="10"/>
      <c r="AE119" s="10"/>
    </row>
    <row r="120" spans="1:31" ht="24.95" customHeight="1" x14ac:dyDescent="0.25">
      <c r="A120" s="39">
        <v>133</v>
      </c>
      <c r="B120" s="38" t="s">
        <v>386</v>
      </c>
      <c r="C120" s="38" t="s">
        <v>386</v>
      </c>
      <c r="D120" s="38" t="s">
        <v>24</v>
      </c>
      <c r="E120" s="38" t="s">
        <v>263</v>
      </c>
      <c r="F120" s="39">
        <v>1</v>
      </c>
      <c r="G120" s="40" t="s">
        <v>621</v>
      </c>
      <c r="H120" s="40" t="s">
        <v>621</v>
      </c>
      <c r="I120" s="40" t="s">
        <v>621</v>
      </c>
      <c r="J120" s="41">
        <v>1</v>
      </c>
      <c r="K120" s="40" t="s">
        <v>621</v>
      </c>
      <c r="L120" s="40" t="s">
        <v>587</v>
      </c>
      <c r="M120" s="40" t="s">
        <v>593</v>
      </c>
      <c r="N120" s="42" t="s">
        <v>626</v>
      </c>
      <c r="O120" s="43" t="s">
        <v>771</v>
      </c>
      <c r="P120" s="43"/>
      <c r="Q120" s="43"/>
      <c r="R120" s="44"/>
      <c r="S120" s="45"/>
      <c r="T120" s="9"/>
      <c r="U120" s="9"/>
      <c r="V120" s="9"/>
      <c r="W120" s="9"/>
      <c r="X120" s="9"/>
      <c r="Y120" s="9"/>
      <c r="Z120" s="9"/>
      <c r="AA120" s="10"/>
      <c r="AB120" s="10"/>
      <c r="AC120" s="10"/>
      <c r="AD120" s="10"/>
      <c r="AE120" s="10"/>
    </row>
    <row r="121" spans="1:31" ht="24.95" customHeight="1" x14ac:dyDescent="0.25">
      <c r="A121" s="39">
        <v>135</v>
      </c>
      <c r="B121" s="38" t="s">
        <v>389</v>
      </c>
      <c r="C121" s="38" t="s">
        <v>390</v>
      </c>
      <c r="D121" s="38" t="s">
        <v>391</v>
      </c>
      <c r="E121" s="38" t="s">
        <v>263</v>
      </c>
      <c r="F121" s="39">
        <v>1</v>
      </c>
      <c r="G121" s="40" t="s">
        <v>621</v>
      </c>
      <c r="H121" s="40" t="s">
        <v>621</v>
      </c>
      <c r="I121" s="40" t="s">
        <v>621</v>
      </c>
      <c r="J121" s="41">
        <v>1</v>
      </c>
      <c r="K121" s="40" t="s">
        <v>621</v>
      </c>
      <c r="L121" s="40" t="s">
        <v>587</v>
      </c>
      <c r="M121" s="40" t="s">
        <v>593</v>
      </c>
      <c r="N121" s="42" t="s">
        <v>626</v>
      </c>
      <c r="O121" s="43" t="s">
        <v>771</v>
      </c>
      <c r="P121" s="43"/>
      <c r="Q121" s="43"/>
      <c r="R121" s="44"/>
      <c r="S121" s="45"/>
      <c r="T121" s="9"/>
      <c r="U121" s="9"/>
      <c r="V121" s="9"/>
      <c r="W121" s="9"/>
      <c r="X121" s="9"/>
      <c r="Y121" s="9"/>
      <c r="Z121" s="9"/>
      <c r="AA121" s="10"/>
      <c r="AB121" s="10"/>
      <c r="AC121" s="10"/>
      <c r="AD121" s="10"/>
      <c r="AE121" s="10"/>
    </row>
    <row r="122" spans="1:31" ht="24.95" customHeight="1" x14ac:dyDescent="0.25">
      <c r="A122" s="39">
        <v>136</v>
      </c>
      <c r="B122" s="38" t="s">
        <v>392</v>
      </c>
      <c r="C122" s="38" t="s">
        <v>393</v>
      </c>
      <c r="D122" s="38" t="s">
        <v>394</v>
      </c>
      <c r="E122" s="38" t="s">
        <v>263</v>
      </c>
      <c r="F122" s="39">
        <v>1</v>
      </c>
      <c r="G122" s="40" t="s">
        <v>621</v>
      </c>
      <c r="H122" s="40" t="s">
        <v>621</v>
      </c>
      <c r="I122" s="40" t="s">
        <v>621</v>
      </c>
      <c r="J122" s="41">
        <v>1</v>
      </c>
      <c r="K122" s="40" t="s">
        <v>621</v>
      </c>
      <c r="L122" s="40" t="s">
        <v>587</v>
      </c>
      <c r="M122" s="40" t="s">
        <v>593</v>
      </c>
      <c r="N122" s="42" t="s">
        <v>626</v>
      </c>
      <c r="O122" s="43" t="s">
        <v>771</v>
      </c>
      <c r="P122" s="43"/>
      <c r="Q122" s="43"/>
      <c r="R122" s="44"/>
      <c r="S122" s="45"/>
      <c r="T122" s="9"/>
      <c r="U122" s="9"/>
      <c r="V122" s="9"/>
      <c r="W122" s="9"/>
      <c r="X122" s="9"/>
      <c r="Y122" s="9"/>
      <c r="Z122" s="9"/>
      <c r="AA122" s="10"/>
      <c r="AB122" s="10"/>
      <c r="AC122" s="10"/>
      <c r="AD122" s="10"/>
      <c r="AE122" s="10"/>
    </row>
    <row r="123" spans="1:31" ht="24.95" customHeight="1" x14ac:dyDescent="0.25">
      <c r="A123" s="39">
        <v>137</v>
      </c>
      <c r="B123" s="38" t="s">
        <v>395</v>
      </c>
      <c r="C123" s="38" t="s">
        <v>395</v>
      </c>
      <c r="D123" s="38" t="s">
        <v>396</v>
      </c>
      <c r="E123" s="38" t="s">
        <v>263</v>
      </c>
      <c r="F123" s="39">
        <v>1</v>
      </c>
      <c r="G123" s="40" t="s">
        <v>621</v>
      </c>
      <c r="H123" s="40" t="s">
        <v>621</v>
      </c>
      <c r="I123" s="40" t="s">
        <v>621</v>
      </c>
      <c r="J123" s="41"/>
      <c r="K123" s="40" t="s">
        <v>621</v>
      </c>
      <c r="L123" s="40" t="s">
        <v>587</v>
      </c>
      <c r="M123" s="40" t="s">
        <v>582</v>
      </c>
      <c r="N123" s="42" t="s">
        <v>717</v>
      </c>
      <c r="O123" s="43" t="s">
        <v>771</v>
      </c>
      <c r="P123" s="43"/>
      <c r="Q123" s="43"/>
      <c r="R123" s="44"/>
      <c r="S123" s="45"/>
      <c r="T123" s="9"/>
      <c r="U123" s="9"/>
      <c r="V123" s="9"/>
      <c r="W123" s="9"/>
      <c r="X123" s="9"/>
      <c r="Y123" s="9"/>
      <c r="Z123" s="9"/>
      <c r="AA123" s="10"/>
      <c r="AB123" s="10"/>
      <c r="AC123" s="10"/>
      <c r="AD123" s="10"/>
      <c r="AE123" s="10"/>
    </row>
    <row r="124" spans="1:31" ht="24.95" customHeight="1" x14ac:dyDescent="0.25">
      <c r="A124" s="39">
        <v>138</v>
      </c>
      <c r="B124" s="38" t="s">
        <v>397</v>
      </c>
      <c r="C124" s="38" t="s">
        <v>398</v>
      </c>
      <c r="D124" s="38" t="s">
        <v>718</v>
      </c>
      <c r="E124" s="38" t="s">
        <v>263</v>
      </c>
      <c r="F124" s="39">
        <v>0</v>
      </c>
      <c r="G124" s="40" t="s">
        <v>132</v>
      </c>
      <c r="H124" s="40" t="s">
        <v>621</v>
      </c>
      <c r="I124" s="40" t="s">
        <v>621</v>
      </c>
      <c r="J124" s="41"/>
      <c r="K124" s="40" t="s">
        <v>621</v>
      </c>
      <c r="L124" s="40" t="s">
        <v>587</v>
      </c>
      <c r="M124" s="40" t="s">
        <v>582</v>
      </c>
      <c r="N124" s="42" t="s">
        <v>719</v>
      </c>
      <c r="O124" s="43" t="s">
        <v>771</v>
      </c>
      <c r="P124" s="43"/>
      <c r="Q124" s="43"/>
      <c r="R124" s="44"/>
      <c r="S124" s="45"/>
      <c r="T124" s="9"/>
      <c r="U124" s="9"/>
      <c r="V124" s="9"/>
      <c r="W124" s="9"/>
      <c r="X124" s="9"/>
      <c r="Y124" s="9"/>
      <c r="Z124" s="9"/>
      <c r="AA124" s="10"/>
      <c r="AB124" s="10"/>
      <c r="AC124" s="10"/>
      <c r="AD124" s="10"/>
      <c r="AE124" s="10"/>
    </row>
    <row r="125" spans="1:31" ht="24.95" customHeight="1" x14ac:dyDescent="0.25">
      <c r="A125" s="39">
        <v>139</v>
      </c>
      <c r="B125" s="38" t="s">
        <v>400</v>
      </c>
      <c r="C125" s="38" t="s">
        <v>401</v>
      </c>
      <c r="D125" s="38" t="s">
        <v>402</v>
      </c>
      <c r="E125" s="38" t="s">
        <v>263</v>
      </c>
      <c r="F125" s="39">
        <v>1</v>
      </c>
      <c r="G125" s="40" t="s">
        <v>621</v>
      </c>
      <c r="H125" s="40" t="s">
        <v>621</v>
      </c>
      <c r="I125" s="40" t="s">
        <v>621</v>
      </c>
      <c r="J125" s="41">
        <v>1</v>
      </c>
      <c r="K125" s="40" t="s">
        <v>621</v>
      </c>
      <c r="L125" s="40" t="s">
        <v>587</v>
      </c>
      <c r="M125" s="40" t="s">
        <v>593</v>
      </c>
      <c r="N125" s="42" t="s">
        <v>626</v>
      </c>
      <c r="O125" s="43" t="s">
        <v>771</v>
      </c>
      <c r="P125" s="43"/>
      <c r="Q125" s="43"/>
      <c r="R125" s="44"/>
      <c r="S125" s="45"/>
      <c r="T125" s="9"/>
      <c r="U125" s="9"/>
      <c r="V125" s="9"/>
      <c r="W125" s="9"/>
      <c r="X125" s="9"/>
      <c r="Y125" s="9"/>
      <c r="Z125" s="9"/>
      <c r="AA125" s="10"/>
      <c r="AB125" s="10"/>
      <c r="AC125" s="10"/>
      <c r="AD125" s="10"/>
      <c r="AE125" s="10"/>
    </row>
    <row r="126" spans="1:31" ht="24.95" customHeight="1" x14ac:dyDescent="0.25">
      <c r="A126" s="39">
        <v>140</v>
      </c>
      <c r="B126" s="38" t="s">
        <v>403</v>
      </c>
      <c r="C126" s="38" t="s">
        <v>404</v>
      </c>
      <c r="D126" s="38" t="s">
        <v>405</v>
      </c>
      <c r="E126" s="38" t="s">
        <v>263</v>
      </c>
      <c r="F126" s="39">
        <v>0</v>
      </c>
      <c r="G126" s="40" t="s">
        <v>621</v>
      </c>
      <c r="H126" s="40" t="s">
        <v>621</v>
      </c>
      <c r="I126" s="40" t="s">
        <v>621</v>
      </c>
      <c r="J126" s="41">
        <v>1</v>
      </c>
      <c r="K126" s="40" t="s">
        <v>621</v>
      </c>
      <c r="L126" s="40" t="s">
        <v>587</v>
      </c>
      <c r="M126" s="40" t="s">
        <v>582</v>
      </c>
      <c r="N126" s="42" t="s">
        <v>702</v>
      </c>
      <c r="O126" s="43" t="s">
        <v>771</v>
      </c>
      <c r="P126" s="43"/>
      <c r="Q126" s="43"/>
      <c r="R126" s="44"/>
      <c r="S126" s="69" t="s">
        <v>903</v>
      </c>
      <c r="T126" s="9"/>
      <c r="U126" s="9"/>
      <c r="V126" s="9"/>
      <c r="W126" s="9"/>
      <c r="X126" s="9"/>
      <c r="Y126" s="9"/>
      <c r="Z126" s="9"/>
      <c r="AA126" s="10"/>
      <c r="AB126" s="10"/>
      <c r="AC126" s="10"/>
      <c r="AD126" s="10"/>
      <c r="AE126" s="10"/>
    </row>
    <row r="127" spans="1:31" ht="24.95" customHeight="1" x14ac:dyDescent="0.25">
      <c r="A127" s="39">
        <v>141</v>
      </c>
      <c r="B127" s="38" t="s">
        <v>406</v>
      </c>
      <c r="C127" s="38" t="s">
        <v>407</v>
      </c>
      <c r="D127" s="38" t="s">
        <v>408</v>
      </c>
      <c r="E127" s="38" t="s">
        <v>263</v>
      </c>
      <c r="F127" s="39">
        <v>1</v>
      </c>
      <c r="G127" s="40" t="s">
        <v>621</v>
      </c>
      <c r="H127" s="40" t="s">
        <v>621</v>
      </c>
      <c r="I127" s="40" t="s">
        <v>621</v>
      </c>
      <c r="J127" s="41">
        <v>1</v>
      </c>
      <c r="K127" s="40" t="s">
        <v>621</v>
      </c>
      <c r="L127" s="40" t="s">
        <v>587</v>
      </c>
      <c r="M127" s="40" t="s">
        <v>593</v>
      </c>
      <c r="N127" s="42" t="s">
        <v>626</v>
      </c>
      <c r="O127" s="43" t="s">
        <v>771</v>
      </c>
      <c r="P127" s="43"/>
      <c r="Q127" s="43"/>
      <c r="R127" s="44"/>
      <c r="S127" s="45"/>
      <c r="T127" s="9"/>
      <c r="U127" s="9"/>
      <c r="V127" s="9"/>
      <c r="W127" s="9"/>
      <c r="X127" s="9"/>
      <c r="Y127" s="9"/>
      <c r="Z127" s="9"/>
      <c r="AA127" s="10"/>
      <c r="AB127" s="10"/>
      <c r="AC127" s="10"/>
      <c r="AD127" s="10"/>
      <c r="AE127" s="10"/>
    </row>
    <row r="128" spans="1:31" ht="24.95" customHeight="1" x14ac:dyDescent="0.25">
      <c r="A128" s="39">
        <v>142</v>
      </c>
      <c r="B128" s="38" t="s">
        <v>409</v>
      </c>
      <c r="C128" s="38" t="s">
        <v>410</v>
      </c>
      <c r="D128" s="38" t="s">
        <v>411</v>
      </c>
      <c r="E128" s="38" t="s">
        <v>263</v>
      </c>
      <c r="F128" s="39">
        <v>1</v>
      </c>
      <c r="G128" s="40" t="s">
        <v>621</v>
      </c>
      <c r="H128" s="40" t="s">
        <v>621</v>
      </c>
      <c r="I128" s="40" t="s">
        <v>621</v>
      </c>
      <c r="J128" s="41">
        <v>1</v>
      </c>
      <c r="K128" s="40" t="s">
        <v>621</v>
      </c>
      <c r="L128" s="40" t="s">
        <v>587</v>
      </c>
      <c r="M128" s="40" t="s">
        <v>593</v>
      </c>
      <c r="N128" s="42" t="s">
        <v>626</v>
      </c>
      <c r="O128" s="43" t="s">
        <v>771</v>
      </c>
      <c r="P128" s="43"/>
      <c r="Q128" s="43"/>
      <c r="R128" s="44"/>
      <c r="S128" s="45"/>
      <c r="T128" s="11" t="s">
        <v>609</v>
      </c>
      <c r="U128" s="9" t="s">
        <v>720</v>
      </c>
      <c r="V128" s="9" t="s">
        <v>672</v>
      </c>
      <c r="W128" s="9" t="s">
        <v>672</v>
      </c>
      <c r="X128" s="11" t="s">
        <v>663</v>
      </c>
      <c r="Y128" s="12" t="s">
        <v>721</v>
      </c>
      <c r="Z128" s="12" t="s">
        <v>722</v>
      </c>
      <c r="AA128" s="10"/>
      <c r="AB128" s="10"/>
      <c r="AC128" s="10"/>
      <c r="AD128" s="10"/>
      <c r="AE128" s="10" t="s">
        <v>584</v>
      </c>
    </row>
    <row r="129" spans="1:31" ht="24.95" customHeight="1" x14ac:dyDescent="0.25">
      <c r="A129" s="39">
        <v>143</v>
      </c>
      <c r="B129" s="38" t="s">
        <v>412</v>
      </c>
      <c r="C129" s="38" t="s">
        <v>723</v>
      </c>
      <c r="D129" s="38" t="s">
        <v>287</v>
      </c>
      <c r="E129" s="38" t="s">
        <v>263</v>
      </c>
      <c r="F129" s="39">
        <v>1</v>
      </c>
      <c r="G129" s="40" t="s">
        <v>621</v>
      </c>
      <c r="H129" s="40" t="s">
        <v>621</v>
      </c>
      <c r="I129" s="40" t="s">
        <v>621</v>
      </c>
      <c r="J129" s="41">
        <v>1</v>
      </c>
      <c r="K129" s="40" t="s">
        <v>621</v>
      </c>
      <c r="L129" s="40" t="s">
        <v>587</v>
      </c>
      <c r="M129" s="40" t="s">
        <v>593</v>
      </c>
      <c r="N129" s="42" t="s">
        <v>626</v>
      </c>
      <c r="O129" s="43" t="s">
        <v>771</v>
      </c>
      <c r="P129" s="43"/>
      <c r="Q129" s="43"/>
      <c r="R129" s="44"/>
      <c r="S129" s="45"/>
      <c r="T129" s="9"/>
      <c r="U129" s="9"/>
      <c r="V129" s="9"/>
      <c r="W129" s="9"/>
      <c r="X129" s="9"/>
      <c r="Y129" s="9"/>
      <c r="Z129" s="9"/>
      <c r="AA129" s="10"/>
      <c r="AB129" s="10"/>
      <c r="AC129" s="10"/>
      <c r="AD129" s="10"/>
      <c r="AE129" s="10"/>
    </row>
    <row r="130" spans="1:31" ht="24.95" customHeight="1" x14ac:dyDescent="0.25">
      <c r="A130" s="39">
        <v>144</v>
      </c>
      <c r="B130" s="38" t="s">
        <v>414</v>
      </c>
      <c r="C130" s="38" t="s">
        <v>415</v>
      </c>
      <c r="D130" s="38" t="s">
        <v>416</v>
      </c>
      <c r="E130" s="38" t="s">
        <v>263</v>
      </c>
      <c r="F130" s="39">
        <v>0</v>
      </c>
      <c r="G130" s="40" t="s">
        <v>621</v>
      </c>
      <c r="H130" s="40" t="s">
        <v>621</v>
      </c>
      <c r="I130" s="40" t="s">
        <v>621</v>
      </c>
      <c r="J130" s="41">
        <v>1</v>
      </c>
      <c r="K130" s="40" t="s">
        <v>621</v>
      </c>
      <c r="L130" s="40" t="s">
        <v>587</v>
      </c>
      <c r="M130" s="40" t="s">
        <v>582</v>
      </c>
      <c r="N130" s="42" t="s">
        <v>702</v>
      </c>
      <c r="O130" s="43" t="s">
        <v>771</v>
      </c>
      <c r="P130" s="43"/>
      <c r="Q130" s="43"/>
      <c r="R130" s="44"/>
      <c r="S130" s="69" t="s">
        <v>903</v>
      </c>
      <c r="T130" s="9"/>
      <c r="U130" s="9"/>
      <c r="V130" s="9"/>
      <c r="W130" s="9"/>
      <c r="X130" s="9"/>
      <c r="Y130" s="9"/>
      <c r="Z130" s="9"/>
      <c r="AA130" s="10"/>
      <c r="AB130" s="10"/>
      <c r="AC130" s="10"/>
      <c r="AD130" s="10"/>
      <c r="AE130" s="10"/>
    </row>
    <row r="131" spans="1:31" ht="24.95" customHeight="1" x14ac:dyDescent="0.25">
      <c r="A131" s="39">
        <v>145</v>
      </c>
      <c r="B131" s="38" t="s">
        <v>417</v>
      </c>
      <c r="C131" s="38" t="s">
        <v>418</v>
      </c>
      <c r="D131" s="38" t="s">
        <v>24</v>
      </c>
      <c r="E131" s="38" t="s">
        <v>263</v>
      </c>
      <c r="F131" s="39">
        <v>0</v>
      </c>
      <c r="G131" s="40" t="s">
        <v>132</v>
      </c>
      <c r="H131" s="40" t="s">
        <v>579</v>
      </c>
      <c r="I131" s="40" t="s">
        <v>579</v>
      </c>
      <c r="J131" s="41"/>
      <c r="K131" s="40" t="s">
        <v>724</v>
      </c>
      <c r="L131" s="40" t="s">
        <v>587</v>
      </c>
      <c r="M131" s="40" t="s">
        <v>582</v>
      </c>
      <c r="N131" s="42" t="s">
        <v>725</v>
      </c>
      <c r="O131" s="43" t="s">
        <v>771</v>
      </c>
      <c r="P131" s="43"/>
      <c r="Q131" s="43"/>
      <c r="R131" s="44"/>
      <c r="S131" s="69" t="s">
        <v>903</v>
      </c>
      <c r="T131" s="9"/>
      <c r="U131" s="9"/>
      <c r="V131" s="9"/>
      <c r="W131" s="9"/>
      <c r="X131" s="9"/>
      <c r="Y131" s="9"/>
      <c r="Z131" s="9"/>
      <c r="AA131" s="10"/>
      <c r="AB131" s="10"/>
      <c r="AC131" s="10"/>
      <c r="AD131" s="10"/>
      <c r="AE131" s="10"/>
    </row>
    <row r="132" spans="1:31" ht="24.95" customHeight="1" x14ac:dyDescent="0.25">
      <c r="A132" s="39">
        <v>146</v>
      </c>
      <c r="B132" s="38" t="s">
        <v>419</v>
      </c>
      <c r="C132" s="38" t="s">
        <v>420</v>
      </c>
      <c r="D132" s="38" t="s">
        <v>421</v>
      </c>
      <c r="E132" s="38" t="s">
        <v>263</v>
      </c>
      <c r="F132" s="39">
        <v>0</v>
      </c>
      <c r="G132" s="40" t="s">
        <v>621</v>
      </c>
      <c r="H132" s="40" t="s">
        <v>621</v>
      </c>
      <c r="I132" s="40" t="s">
        <v>621</v>
      </c>
      <c r="J132" s="41">
        <v>1</v>
      </c>
      <c r="K132" s="40" t="s">
        <v>621</v>
      </c>
      <c r="L132" s="40" t="s">
        <v>587</v>
      </c>
      <c r="M132" s="40" t="s">
        <v>582</v>
      </c>
      <c r="N132" s="42" t="s">
        <v>702</v>
      </c>
      <c r="O132" s="43" t="s">
        <v>771</v>
      </c>
      <c r="P132" s="43"/>
      <c r="Q132" s="43"/>
      <c r="R132" s="44"/>
      <c r="S132" s="69" t="s">
        <v>903</v>
      </c>
      <c r="T132" s="9"/>
      <c r="U132" s="9"/>
      <c r="V132" s="9"/>
      <c r="W132" s="9"/>
      <c r="X132" s="9"/>
      <c r="Y132" s="9"/>
      <c r="Z132" s="9"/>
      <c r="AA132" s="10"/>
      <c r="AB132" s="10"/>
      <c r="AC132" s="10"/>
      <c r="AD132" s="10"/>
      <c r="AE132" s="10"/>
    </row>
    <row r="133" spans="1:31" ht="24.95" customHeight="1" x14ac:dyDescent="0.25">
      <c r="A133" s="39">
        <v>147</v>
      </c>
      <c r="B133" s="38" t="s">
        <v>422</v>
      </c>
      <c r="C133" s="38" t="s">
        <v>726</v>
      </c>
      <c r="D133" s="38" t="s">
        <v>424</v>
      </c>
      <c r="E133" s="38" t="s">
        <v>263</v>
      </c>
      <c r="F133" s="39">
        <v>1</v>
      </c>
      <c r="G133" s="40" t="s">
        <v>621</v>
      </c>
      <c r="H133" s="40" t="s">
        <v>621</v>
      </c>
      <c r="I133" s="40" t="s">
        <v>621</v>
      </c>
      <c r="J133" s="41">
        <v>1</v>
      </c>
      <c r="K133" s="40" t="s">
        <v>621</v>
      </c>
      <c r="L133" s="40" t="s">
        <v>587</v>
      </c>
      <c r="M133" s="40" t="s">
        <v>593</v>
      </c>
      <c r="N133" s="42" t="s">
        <v>626</v>
      </c>
      <c r="O133" s="43" t="s">
        <v>771</v>
      </c>
      <c r="P133" s="43"/>
      <c r="Q133" s="43"/>
      <c r="R133" s="44"/>
      <c r="S133" s="45"/>
      <c r="T133" s="9"/>
      <c r="U133" s="9"/>
      <c r="V133" s="9"/>
      <c r="W133" s="9"/>
      <c r="X133" s="9"/>
      <c r="Y133" s="9"/>
      <c r="Z133" s="9"/>
      <c r="AA133" s="10"/>
      <c r="AB133" s="10"/>
      <c r="AC133" s="10"/>
      <c r="AD133" s="10"/>
      <c r="AE133" s="10"/>
    </row>
    <row r="134" spans="1:31" ht="24.95" customHeight="1" x14ac:dyDescent="0.25">
      <c r="A134" s="39">
        <v>149</v>
      </c>
      <c r="B134" s="38" t="s">
        <v>427</v>
      </c>
      <c r="C134" s="38" t="s">
        <v>428</v>
      </c>
      <c r="D134" s="38" t="s">
        <v>429</v>
      </c>
      <c r="E134" s="38" t="s">
        <v>426</v>
      </c>
      <c r="F134" s="39">
        <v>1</v>
      </c>
      <c r="G134" s="40" t="s">
        <v>579</v>
      </c>
      <c r="H134" s="40" t="s">
        <v>579</v>
      </c>
      <c r="I134" s="40" t="s">
        <v>579</v>
      </c>
      <c r="J134" s="41"/>
      <c r="K134" s="40" t="s">
        <v>677</v>
      </c>
      <c r="L134" s="40" t="s">
        <v>587</v>
      </c>
      <c r="M134" s="40" t="s">
        <v>582</v>
      </c>
      <c r="N134" s="42" t="s">
        <v>727</v>
      </c>
      <c r="O134" s="43" t="s">
        <v>771</v>
      </c>
      <c r="P134" s="43"/>
      <c r="Q134" s="43"/>
      <c r="R134" s="44"/>
      <c r="S134" s="69" t="s">
        <v>903</v>
      </c>
      <c r="T134" s="9"/>
      <c r="U134" s="9"/>
      <c r="V134" s="9"/>
      <c r="W134" s="9"/>
      <c r="X134" s="9"/>
      <c r="Y134" s="9"/>
      <c r="Z134" s="9"/>
      <c r="AA134" s="10"/>
      <c r="AB134" s="10"/>
      <c r="AC134" s="10"/>
      <c r="AD134" s="10"/>
      <c r="AE134" s="10"/>
    </row>
    <row r="135" spans="1:31" ht="24.95" customHeight="1" x14ac:dyDescent="0.25">
      <c r="A135" s="39">
        <v>150</v>
      </c>
      <c r="B135" s="38" t="s">
        <v>430</v>
      </c>
      <c r="C135" s="38" t="s">
        <v>431</v>
      </c>
      <c r="D135" s="38" t="s">
        <v>432</v>
      </c>
      <c r="E135" s="38" t="s">
        <v>433</v>
      </c>
      <c r="F135" s="39">
        <v>1</v>
      </c>
      <c r="G135" s="40" t="s">
        <v>728</v>
      </c>
      <c r="H135" s="40" t="s">
        <v>728</v>
      </c>
      <c r="I135" s="40" t="s">
        <v>728</v>
      </c>
      <c r="J135" s="41">
        <v>1</v>
      </c>
      <c r="K135" s="40" t="s">
        <v>728</v>
      </c>
      <c r="L135" s="40" t="s">
        <v>587</v>
      </c>
      <c r="M135" s="40" t="s">
        <v>593</v>
      </c>
      <c r="N135" s="42"/>
      <c r="O135" s="43" t="s">
        <v>771</v>
      </c>
      <c r="P135" s="43"/>
      <c r="Q135" s="43"/>
      <c r="R135" s="44"/>
      <c r="S135" s="45"/>
      <c r="T135" s="9"/>
      <c r="U135" s="9"/>
      <c r="V135" s="9"/>
      <c r="W135" s="9"/>
      <c r="X135" s="9"/>
      <c r="Y135" s="9"/>
      <c r="Z135" s="9"/>
      <c r="AA135" s="10"/>
      <c r="AB135" s="10"/>
      <c r="AC135" s="10"/>
      <c r="AD135" s="10"/>
      <c r="AE135" s="10"/>
    </row>
    <row r="136" spans="1:31" ht="24.95" customHeight="1" x14ac:dyDescent="0.25">
      <c r="A136" s="39">
        <v>151</v>
      </c>
      <c r="B136" s="38" t="s">
        <v>434</v>
      </c>
      <c r="C136" s="38" t="s">
        <v>435</v>
      </c>
      <c r="D136" s="38" t="s">
        <v>729</v>
      </c>
      <c r="E136" s="38" t="s">
        <v>433</v>
      </c>
      <c r="F136" s="39">
        <v>1</v>
      </c>
      <c r="G136" s="40" t="s">
        <v>728</v>
      </c>
      <c r="H136" s="40" t="s">
        <v>728</v>
      </c>
      <c r="I136" s="40" t="s">
        <v>728</v>
      </c>
      <c r="J136" s="41">
        <v>1</v>
      </c>
      <c r="K136" s="40" t="s">
        <v>728</v>
      </c>
      <c r="L136" s="40" t="s">
        <v>587</v>
      </c>
      <c r="M136" s="40" t="s">
        <v>593</v>
      </c>
      <c r="N136" s="42"/>
      <c r="O136" s="43" t="s">
        <v>771</v>
      </c>
      <c r="P136" s="43"/>
      <c r="Q136" s="43"/>
      <c r="R136" s="44"/>
      <c r="S136" s="45"/>
      <c r="T136" s="9"/>
      <c r="U136" s="9"/>
      <c r="V136" s="9"/>
      <c r="W136" s="9"/>
      <c r="X136" s="9"/>
      <c r="Y136" s="9"/>
      <c r="Z136" s="9"/>
      <c r="AA136" s="10"/>
      <c r="AB136" s="10"/>
      <c r="AC136" s="10"/>
      <c r="AD136" s="10"/>
      <c r="AE136" s="10"/>
    </row>
    <row r="137" spans="1:31" ht="24.95" customHeight="1" x14ac:dyDescent="0.25">
      <c r="A137" s="39">
        <v>153</v>
      </c>
      <c r="B137" s="38" t="s">
        <v>441</v>
      </c>
      <c r="C137" s="38" t="s">
        <v>442</v>
      </c>
      <c r="D137" s="38" t="s">
        <v>443</v>
      </c>
      <c r="E137" s="38" t="s">
        <v>444</v>
      </c>
      <c r="F137" s="39">
        <v>0</v>
      </c>
      <c r="G137" s="40" t="s">
        <v>585</v>
      </c>
      <c r="H137" s="40" t="s">
        <v>585</v>
      </c>
      <c r="I137" s="40" t="s">
        <v>585</v>
      </c>
      <c r="J137" s="41">
        <v>1</v>
      </c>
      <c r="K137" s="40" t="s">
        <v>586</v>
      </c>
      <c r="L137" s="40" t="s">
        <v>587</v>
      </c>
      <c r="M137" s="40" t="s">
        <v>582</v>
      </c>
      <c r="N137" s="42" t="s">
        <v>730</v>
      </c>
      <c r="O137" s="43" t="s">
        <v>771</v>
      </c>
      <c r="P137" s="68" t="s">
        <v>909</v>
      </c>
      <c r="Q137" s="43"/>
      <c r="R137" s="44"/>
      <c r="S137" s="45"/>
      <c r="T137" s="9"/>
      <c r="U137" s="9"/>
      <c r="V137" s="9"/>
      <c r="W137" s="9"/>
      <c r="X137" s="9"/>
      <c r="Y137" s="9"/>
      <c r="Z137" s="9"/>
      <c r="AA137" s="10"/>
      <c r="AB137" s="10"/>
      <c r="AC137" s="10"/>
      <c r="AD137" s="10"/>
      <c r="AE137" s="10"/>
    </row>
    <row r="138" spans="1:31" ht="24.95" customHeight="1" x14ac:dyDescent="0.25">
      <c r="A138" s="39">
        <v>154</v>
      </c>
      <c r="B138" s="38" t="s">
        <v>445</v>
      </c>
      <c r="C138" s="38" t="s">
        <v>446</v>
      </c>
      <c r="D138" s="38" t="s">
        <v>115</v>
      </c>
      <c r="E138" s="38" t="s">
        <v>447</v>
      </c>
      <c r="F138" s="39">
        <v>0</v>
      </c>
      <c r="G138" s="40" t="s">
        <v>731</v>
      </c>
      <c r="H138" s="40" t="s">
        <v>731</v>
      </c>
      <c r="I138" s="40" t="s">
        <v>731</v>
      </c>
      <c r="J138" s="41">
        <v>1</v>
      </c>
      <c r="K138" s="40" t="s">
        <v>731</v>
      </c>
      <c r="L138" s="40" t="s">
        <v>587</v>
      </c>
      <c r="M138" s="40" t="s">
        <v>582</v>
      </c>
      <c r="N138" s="42" t="s">
        <v>732</v>
      </c>
      <c r="O138" s="43" t="s">
        <v>771</v>
      </c>
      <c r="P138" s="43"/>
      <c r="Q138" s="43"/>
      <c r="R138" s="44"/>
      <c r="S138" s="69" t="s">
        <v>903</v>
      </c>
      <c r="T138" s="9"/>
      <c r="U138" s="9"/>
      <c r="V138" s="9"/>
      <c r="W138" s="9"/>
      <c r="X138" s="9"/>
      <c r="Y138" s="9"/>
      <c r="Z138" s="9"/>
      <c r="AA138" s="10"/>
      <c r="AB138" s="10"/>
      <c r="AC138" s="10"/>
      <c r="AD138" s="10"/>
      <c r="AE138" s="10"/>
    </row>
    <row r="139" spans="1:31" ht="24.95" customHeight="1" x14ac:dyDescent="0.25">
      <c r="A139" s="39">
        <v>155</v>
      </c>
      <c r="B139" s="38" t="s">
        <v>448</v>
      </c>
      <c r="C139" s="38" t="s">
        <v>449</v>
      </c>
      <c r="D139" s="38" t="s">
        <v>450</v>
      </c>
      <c r="E139" s="38" t="s">
        <v>451</v>
      </c>
      <c r="F139" s="39">
        <v>1</v>
      </c>
      <c r="G139" s="40" t="s">
        <v>728</v>
      </c>
      <c r="H139" s="40" t="s">
        <v>728</v>
      </c>
      <c r="I139" s="40" t="s">
        <v>728</v>
      </c>
      <c r="J139" s="41">
        <v>1</v>
      </c>
      <c r="K139" s="40" t="s">
        <v>728</v>
      </c>
      <c r="L139" s="40" t="s">
        <v>587</v>
      </c>
      <c r="M139" s="40" t="s">
        <v>593</v>
      </c>
      <c r="N139" s="42"/>
      <c r="O139" s="43" t="s">
        <v>771</v>
      </c>
      <c r="P139" s="43"/>
      <c r="Q139" s="43"/>
      <c r="R139" s="44"/>
      <c r="S139" s="45"/>
      <c r="T139" s="9"/>
      <c r="U139" s="9"/>
      <c r="V139" s="9"/>
      <c r="W139" s="9"/>
      <c r="X139" s="9"/>
      <c r="Y139" s="9"/>
      <c r="Z139" s="9"/>
      <c r="AA139" s="10"/>
      <c r="AB139" s="10"/>
      <c r="AC139" s="10"/>
      <c r="AD139" s="10"/>
      <c r="AE139" s="10"/>
    </row>
    <row r="140" spans="1:31" ht="24.95" customHeight="1" x14ac:dyDescent="0.25">
      <c r="A140" s="39">
        <v>163</v>
      </c>
      <c r="B140" s="38" t="s">
        <v>466</v>
      </c>
      <c r="C140" s="38" t="s">
        <v>467</v>
      </c>
      <c r="D140" s="38" t="s">
        <v>468</v>
      </c>
      <c r="E140" s="38" t="s">
        <v>469</v>
      </c>
      <c r="F140" s="39">
        <v>1</v>
      </c>
      <c r="G140" s="40" t="s">
        <v>733</v>
      </c>
      <c r="H140" s="40" t="s">
        <v>733</v>
      </c>
      <c r="I140" s="40" t="s">
        <v>733</v>
      </c>
      <c r="J140" s="41">
        <v>1</v>
      </c>
      <c r="K140" s="40" t="s">
        <v>734</v>
      </c>
      <c r="L140" s="40" t="s">
        <v>587</v>
      </c>
      <c r="M140" s="40" t="s">
        <v>593</v>
      </c>
      <c r="N140" s="42"/>
      <c r="O140" s="43" t="s">
        <v>771</v>
      </c>
      <c r="P140" s="43"/>
      <c r="Q140" s="43"/>
      <c r="R140" s="44"/>
      <c r="S140" s="45"/>
      <c r="T140" s="9"/>
      <c r="U140" s="9"/>
      <c r="V140" s="9"/>
      <c r="W140" s="9"/>
      <c r="X140" s="9"/>
      <c r="Y140" s="9"/>
      <c r="Z140" s="9"/>
      <c r="AA140" s="10"/>
      <c r="AB140" s="10"/>
      <c r="AC140" s="10"/>
      <c r="AD140" s="10"/>
      <c r="AE140" s="10"/>
    </row>
    <row r="141" spans="1:31" ht="24.95" customHeight="1" x14ac:dyDescent="0.25">
      <c r="A141" s="39">
        <v>165</v>
      </c>
      <c r="B141" s="38" t="s">
        <v>473</v>
      </c>
      <c r="C141" s="38" t="s">
        <v>474</v>
      </c>
      <c r="D141" s="38" t="s">
        <v>339</v>
      </c>
      <c r="E141" s="38" t="s">
        <v>475</v>
      </c>
      <c r="F141" s="39">
        <v>1</v>
      </c>
      <c r="G141" s="40" t="s">
        <v>735</v>
      </c>
      <c r="H141" s="40" t="s">
        <v>735</v>
      </c>
      <c r="I141" s="40" t="s">
        <v>735</v>
      </c>
      <c r="J141" s="41">
        <v>1</v>
      </c>
      <c r="K141" s="40" t="s">
        <v>735</v>
      </c>
      <c r="L141" s="40" t="s">
        <v>587</v>
      </c>
      <c r="M141" s="40" t="s">
        <v>593</v>
      </c>
      <c r="N141" s="42"/>
      <c r="O141" s="43" t="s">
        <v>771</v>
      </c>
      <c r="P141" s="43"/>
      <c r="Q141" s="43"/>
      <c r="R141" s="44"/>
      <c r="S141" s="45"/>
      <c r="T141" s="9"/>
      <c r="U141" s="9"/>
      <c r="V141" s="9"/>
      <c r="W141" s="9"/>
      <c r="X141" s="9"/>
      <c r="Y141" s="9"/>
      <c r="Z141" s="9"/>
      <c r="AA141" s="10"/>
      <c r="AB141" s="10"/>
      <c r="AC141" s="10"/>
      <c r="AD141" s="10"/>
      <c r="AE141" s="10"/>
    </row>
    <row r="142" spans="1:31" ht="24.95" customHeight="1" x14ac:dyDescent="0.25">
      <c r="A142" s="39">
        <v>166</v>
      </c>
      <c r="B142" s="38" t="s">
        <v>476</v>
      </c>
      <c r="C142" s="38" t="s">
        <v>477</v>
      </c>
      <c r="D142" s="38" t="s">
        <v>478</v>
      </c>
      <c r="E142" s="38" t="s">
        <v>479</v>
      </c>
      <c r="F142" s="39">
        <v>0</v>
      </c>
      <c r="G142" s="40" t="s">
        <v>735</v>
      </c>
      <c r="H142" s="40" t="s">
        <v>735</v>
      </c>
      <c r="I142" s="40" t="s">
        <v>735</v>
      </c>
      <c r="J142" s="41">
        <v>1</v>
      </c>
      <c r="K142" s="40" t="s">
        <v>735</v>
      </c>
      <c r="L142" s="40" t="s">
        <v>587</v>
      </c>
      <c r="M142" s="40" t="s">
        <v>582</v>
      </c>
      <c r="N142" s="42" t="s">
        <v>591</v>
      </c>
      <c r="O142" s="43" t="s">
        <v>771</v>
      </c>
      <c r="P142" s="68" t="s">
        <v>893</v>
      </c>
      <c r="Q142" s="43"/>
      <c r="R142" s="44"/>
      <c r="S142" s="69" t="s">
        <v>911</v>
      </c>
      <c r="T142" s="9"/>
      <c r="U142" s="9"/>
      <c r="V142" s="9"/>
      <c r="W142" s="9"/>
      <c r="X142" s="9"/>
      <c r="Y142" s="9"/>
      <c r="Z142" s="9"/>
      <c r="AA142" s="10"/>
      <c r="AB142" s="10"/>
      <c r="AC142" s="10"/>
      <c r="AD142" s="10"/>
      <c r="AE142" s="10"/>
    </row>
    <row r="143" spans="1:31" ht="24.95" customHeight="1" x14ac:dyDescent="0.25">
      <c r="A143" s="39">
        <v>167</v>
      </c>
      <c r="B143" s="38" t="s">
        <v>480</v>
      </c>
      <c r="C143" s="38" t="s">
        <v>481</v>
      </c>
      <c r="D143" s="38" t="s">
        <v>482</v>
      </c>
      <c r="E143" s="38" t="s">
        <v>483</v>
      </c>
      <c r="F143" s="39">
        <v>1</v>
      </c>
      <c r="G143" s="40" t="s">
        <v>736</v>
      </c>
      <c r="H143" s="40" t="s">
        <v>736</v>
      </c>
      <c r="I143" s="40" t="s">
        <v>736</v>
      </c>
      <c r="J143" s="41">
        <v>1</v>
      </c>
      <c r="K143" s="40" t="s">
        <v>737</v>
      </c>
      <c r="L143" s="40" t="s">
        <v>587</v>
      </c>
      <c r="M143" s="40" t="s">
        <v>593</v>
      </c>
      <c r="N143" s="42"/>
      <c r="O143" s="43" t="s">
        <v>771</v>
      </c>
      <c r="P143" s="43"/>
      <c r="Q143" s="43"/>
      <c r="R143" s="44"/>
      <c r="S143" s="45"/>
      <c r="T143" s="9"/>
      <c r="U143" s="9"/>
      <c r="V143" s="9"/>
      <c r="W143" s="9"/>
      <c r="X143" s="9"/>
      <c r="Y143" s="9"/>
      <c r="Z143" s="9"/>
      <c r="AA143" s="10"/>
      <c r="AB143" s="10"/>
      <c r="AC143" s="10"/>
      <c r="AD143" s="10"/>
      <c r="AE143" s="10"/>
    </row>
    <row r="144" spans="1:31" ht="24.95" customHeight="1" x14ac:dyDescent="0.25">
      <c r="A144" s="39">
        <v>168</v>
      </c>
      <c r="B144" s="38" t="s">
        <v>484</v>
      </c>
      <c r="C144" s="38" t="s">
        <v>485</v>
      </c>
      <c r="D144" s="38" t="s">
        <v>486</v>
      </c>
      <c r="E144" s="38" t="s">
        <v>483</v>
      </c>
      <c r="F144" s="39">
        <v>1</v>
      </c>
      <c r="G144" s="40" t="s">
        <v>736</v>
      </c>
      <c r="H144" s="40" t="s">
        <v>736</v>
      </c>
      <c r="I144" s="40" t="s">
        <v>736</v>
      </c>
      <c r="J144" s="41">
        <v>1</v>
      </c>
      <c r="K144" s="40" t="s">
        <v>737</v>
      </c>
      <c r="L144" s="40" t="s">
        <v>587</v>
      </c>
      <c r="M144" s="40" t="s">
        <v>593</v>
      </c>
      <c r="N144" s="42"/>
      <c r="O144" s="43" t="s">
        <v>771</v>
      </c>
      <c r="P144" s="43"/>
      <c r="Q144" s="43"/>
      <c r="R144" s="44"/>
      <c r="S144" s="45"/>
      <c r="T144" s="9"/>
      <c r="U144" s="9"/>
      <c r="V144" s="9"/>
      <c r="W144" s="9"/>
      <c r="X144" s="9"/>
      <c r="Y144" s="9"/>
      <c r="Z144" s="9"/>
      <c r="AA144" s="10"/>
      <c r="AB144" s="10"/>
      <c r="AC144" s="10"/>
      <c r="AD144" s="10"/>
      <c r="AE144" s="10"/>
    </row>
    <row r="145" spans="1:31" ht="24.95" customHeight="1" x14ac:dyDescent="0.25">
      <c r="A145" s="39">
        <v>169</v>
      </c>
      <c r="B145" s="38" t="s">
        <v>487</v>
      </c>
      <c r="C145" s="38" t="s">
        <v>488</v>
      </c>
      <c r="D145" s="38" t="s">
        <v>489</v>
      </c>
      <c r="E145" s="38" t="s">
        <v>483</v>
      </c>
      <c r="F145" s="39">
        <v>1</v>
      </c>
      <c r="G145" s="40" t="s">
        <v>736</v>
      </c>
      <c r="H145" s="40" t="s">
        <v>736</v>
      </c>
      <c r="I145" s="40" t="s">
        <v>736</v>
      </c>
      <c r="J145" s="41">
        <v>1</v>
      </c>
      <c r="K145" s="40" t="s">
        <v>737</v>
      </c>
      <c r="L145" s="40" t="s">
        <v>587</v>
      </c>
      <c r="M145" s="40" t="s">
        <v>593</v>
      </c>
      <c r="N145" s="42"/>
      <c r="O145" s="43" t="s">
        <v>771</v>
      </c>
      <c r="P145" s="43"/>
      <c r="Q145" s="43"/>
      <c r="R145" s="44"/>
      <c r="S145" s="45"/>
      <c r="T145" s="9"/>
      <c r="U145" s="9"/>
      <c r="V145" s="9"/>
      <c r="W145" s="9"/>
      <c r="X145" s="9"/>
      <c r="Y145" s="9"/>
      <c r="Z145" s="9"/>
      <c r="AA145" s="10"/>
      <c r="AB145" s="10"/>
      <c r="AC145" s="10"/>
      <c r="AD145" s="10"/>
      <c r="AE145" s="10"/>
    </row>
    <row r="146" spans="1:31" ht="24.95" customHeight="1" x14ac:dyDescent="0.25">
      <c r="A146" s="39">
        <v>170</v>
      </c>
      <c r="B146" s="38" t="s">
        <v>490</v>
      </c>
      <c r="C146" s="38" t="s">
        <v>491</v>
      </c>
      <c r="D146" s="38" t="s">
        <v>492</v>
      </c>
      <c r="E146" s="38" t="s">
        <v>483</v>
      </c>
      <c r="F146" s="39">
        <v>1</v>
      </c>
      <c r="G146" s="40" t="s">
        <v>736</v>
      </c>
      <c r="H146" s="40" t="s">
        <v>736</v>
      </c>
      <c r="I146" s="40" t="s">
        <v>736</v>
      </c>
      <c r="J146" s="41">
        <v>1</v>
      </c>
      <c r="K146" s="40" t="s">
        <v>737</v>
      </c>
      <c r="L146" s="40" t="s">
        <v>587</v>
      </c>
      <c r="M146" s="40" t="s">
        <v>593</v>
      </c>
      <c r="N146" s="42"/>
      <c r="O146" s="43" t="s">
        <v>771</v>
      </c>
      <c r="P146" s="43"/>
      <c r="Q146" s="43"/>
      <c r="R146" s="44"/>
      <c r="S146" s="45"/>
      <c r="T146" s="9"/>
      <c r="U146" s="9"/>
      <c r="V146" s="9"/>
      <c r="W146" s="9"/>
      <c r="X146" s="9"/>
      <c r="Y146" s="9"/>
      <c r="Z146" s="9"/>
      <c r="AA146" s="10"/>
      <c r="AB146" s="10"/>
      <c r="AC146" s="10"/>
      <c r="AD146" s="10"/>
      <c r="AE146" s="10"/>
    </row>
    <row r="147" spans="1:31" ht="24.95" customHeight="1" x14ac:dyDescent="0.25">
      <c r="A147" s="39">
        <v>171</v>
      </c>
      <c r="B147" s="38" t="s">
        <v>493</v>
      </c>
      <c r="C147" s="38" t="s">
        <v>494</v>
      </c>
      <c r="D147" s="38" t="s">
        <v>495</v>
      </c>
      <c r="E147" s="38" t="s">
        <v>483</v>
      </c>
      <c r="F147" s="39">
        <v>1</v>
      </c>
      <c r="G147" s="40" t="s">
        <v>736</v>
      </c>
      <c r="H147" s="40" t="s">
        <v>736</v>
      </c>
      <c r="I147" s="40" t="s">
        <v>736</v>
      </c>
      <c r="J147" s="41">
        <v>1</v>
      </c>
      <c r="K147" s="40" t="s">
        <v>737</v>
      </c>
      <c r="L147" s="40" t="s">
        <v>587</v>
      </c>
      <c r="M147" s="40" t="s">
        <v>593</v>
      </c>
      <c r="N147" s="42"/>
      <c r="O147" s="43" t="s">
        <v>771</v>
      </c>
      <c r="P147" s="43"/>
      <c r="Q147" s="43"/>
      <c r="R147" s="44"/>
      <c r="S147" s="45"/>
      <c r="T147" s="9"/>
      <c r="U147" s="9"/>
      <c r="V147" s="9"/>
      <c r="W147" s="9"/>
      <c r="X147" s="9"/>
      <c r="Y147" s="9"/>
      <c r="Z147" s="9"/>
      <c r="AA147" s="10"/>
      <c r="AB147" s="10"/>
      <c r="AC147" s="10"/>
      <c r="AD147" s="10"/>
      <c r="AE147" s="10"/>
    </row>
    <row r="148" spans="1:31" ht="24.95" customHeight="1" x14ac:dyDescent="0.25">
      <c r="A148" s="39">
        <v>172</v>
      </c>
      <c r="B148" s="38" t="s">
        <v>496</v>
      </c>
      <c r="C148" s="38" t="s">
        <v>497</v>
      </c>
      <c r="D148" s="38" t="s">
        <v>498</v>
      </c>
      <c r="E148" s="38" t="s">
        <v>483</v>
      </c>
      <c r="F148" s="39">
        <v>0</v>
      </c>
      <c r="G148" s="40" t="s">
        <v>736</v>
      </c>
      <c r="H148" s="40" t="s">
        <v>736</v>
      </c>
      <c r="I148" s="40" t="s">
        <v>736</v>
      </c>
      <c r="J148" s="41">
        <v>1</v>
      </c>
      <c r="K148" s="40" t="s">
        <v>737</v>
      </c>
      <c r="L148" s="40" t="s">
        <v>587</v>
      </c>
      <c r="M148" s="40" t="s">
        <v>582</v>
      </c>
      <c r="N148" s="42" t="s">
        <v>591</v>
      </c>
      <c r="O148" s="43" t="s">
        <v>771</v>
      </c>
      <c r="P148" s="43" t="s">
        <v>483</v>
      </c>
      <c r="Q148" s="43"/>
      <c r="R148" s="44"/>
      <c r="S148" s="45" t="s">
        <v>910</v>
      </c>
      <c r="T148" s="9"/>
      <c r="U148" s="9"/>
      <c r="V148" s="9"/>
      <c r="W148" s="9"/>
      <c r="X148" s="9"/>
      <c r="Y148" s="9"/>
      <c r="Z148" s="9"/>
      <c r="AA148" s="10"/>
      <c r="AB148" s="10"/>
      <c r="AC148" s="10"/>
      <c r="AD148" s="10"/>
      <c r="AE148" s="10"/>
    </row>
    <row r="149" spans="1:31" ht="24.95" customHeight="1" x14ac:dyDescent="0.25">
      <c r="A149" s="39">
        <v>173</v>
      </c>
      <c r="B149" s="38" t="s">
        <v>499</v>
      </c>
      <c r="C149" s="38" t="s">
        <v>500</v>
      </c>
      <c r="D149" s="38" t="s">
        <v>498</v>
      </c>
      <c r="E149" s="38" t="s">
        <v>483</v>
      </c>
      <c r="F149" s="39">
        <v>0</v>
      </c>
      <c r="G149" s="40" t="s">
        <v>585</v>
      </c>
      <c r="H149" s="40" t="s">
        <v>585</v>
      </c>
      <c r="I149" s="40" t="s">
        <v>585</v>
      </c>
      <c r="J149" s="41">
        <v>1</v>
      </c>
      <c r="K149" s="40" t="s">
        <v>586</v>
      </c>
      <c r="L149" s="40" t="s">
        <v>587</v>
      </c>
      <c r="M149" s="40" t="s">
        <v>582</v>
      </c>
      <c r="N149" s="42" t="s">
        <v>738</v>
      </c>
      <c r="O149" s="43" t="s">
        <v>771</v>
      </c>
      <c r="P149" s="43" t="s">
        <v>909</v>
      </c>
      <c r="Q149" s="43"/>
      <c r="R149" s="44"/>
      <c r="S149" s="45"/>
      <c r="T149" s="9"/>
      <c r="U149" s="9"/>
      <c r="V149" s="9"/>
      <c r="W149" s="9"/>
      <c r="X149" s="9"/>
      <c r="Y149" s="9"/>
      <c r="Z149" s="9"/>
      <c r="AA149" s="10"/>
      <c r="AB149" s="10"/>
      <c r="AC149" s="10"/>
      <c r="AD149" s="10"/>
      <c r="AE149" s="10"/>
    </row>
    <row r="150" spans="1:31" ht="24.95" customHeight="1" x14ac:dyDescent="0.25">
      <c r="A150" s="39">
        <v>174</v>
      </c>
      <c r="B150" s="38" t="s">
        <v>501</v>
      </c>
      <c r="C150" s="38" t="s">
        <v>502</v>
      </c>
      <c r="D150" s="38" t="s">
        <v>498</v>
      </c>
      <c r="E150" s="38" t="s">
        <v>483</v>
      </c>
      <c r="F150" s="39">
        <v>0</v>
      </c>
      <c r="G150" s="40" t="s">
        <v>585</v>
      </c>
      <c r="H150" s="40" t="s">
        <v>585</v>
      </c>
      <c r="I150" s="40" t="s">
        <v>585</v>
      </c>
      <c r="J150" s="41">
        <v>1</v>
      </c>
      <c r="K150" s="40" t="s">
        <v>739</v>
      </c>
      <c r="L150" s="40" t="s">
        <v>587</v>
      </c>
      <c r="M150" s="40" t="s">
        <v>582</v>
      </c>
      <c r="N150" s="42" t="s">
        <v>740</v>
      </c>
      <c r="O150" s="43" t="s">
        <v>771</v>
      </c>
      <c r="P150" s="43"/>
      <c r="Q150" s="43"/>
      <c r="R150" s="44"/>
      <c r="S150" s="45"/>
      <c r="T150" s="9"/>
      <c r="U150" s="9"/>
      <c r="V150" s="9"/>
      <c r="W150" s="9"/>
      <c r="X150" s="9"/>
      <c r="Y150" s="9"/>
      <c r="Z150" s="9"/>
      <c r="AA150" s="10"/>
      <c r="AB150" s="10"/>
      <c r="AC150" s="10"/>
      <c r="AD150" s="10"/>
      <c r="AE150" s="10"/>
    </row>
    <row r="151" spans="1:31" ht="24.95" customHeight="1" x14ac:dyDescent="0.25">
      <c r="A151" s="39">
        <v>175</v>
      </c>
      <c r="B151" s="38" t="s">
        <v>503</v>
      </c>
      <c r="C151" s="38" t="s">
        <v>504</v>
      </c>
      <c r="D151" s="38" t="s">
        <v>505</v>
      </c>
      <c r="E151" s="38" t="s">
        <v>483</v>
      </c>
      <c r="F151" s="39">
        <v>1</v>
      </c>
      <c r="G151" s="40" t="s">
        <v>736</v>
      </c>
      <c r="H151" s="40" t="s">
        <v>736</v>
      </c>
      <c r="I151" s="40" t="s">
        <v>736</v>
      </c>
      <c r="J151" s="41">
        <v>1</v>
      </c>
      <c r="K151" s="40" t="s">
        <v>737</v>
      </c>
      <c r="L151" s="40" t="s">
        <v>587</v>
      </c>
      <c r="M151" s="40" t="s">
        <v>593</v>
      </c>
      <c r="N151" s="42"/>
      <c r="O151" s="43" t="s">
        <v>771</v>
      </c>
      <c r="P151" s="43"/>
      <c r="Q151" s="43"/>
      <c r="R151" s="44"/>
      <c r="S151" s="45"/>
      <c r="T151" s="9"/>
      <c r="U151" s="9"/>
      <c r="V151" s="9"/>
      <c r="W151" s="9"/>
      <c r="X151" s="9"/>
      <c r="Y151" s="9"/>
      <c r="Z151" s="9"/>
      <c r="AA151" s="10"/>
      <c r="AB151" s="10"/>
      <c r="AC151" s="10"/>
      <c r="AD151" s="10"/>
      <c r="AE151" s="10"/>
    </row>
    <row r="152" spans="1:31" ht="24.95" customHeight="1" x14ac:dyDescent="0.25">
      <c r="A152" s="39">
        <v>176</v>
      </c>
      <c r="B152" s="38" t="s">
        <v>506</v>
      </c>
      <c r="C152" s="38" t="s">
        <v>741</v>
      </c>
      <c r="D152" s="38" t="s">
        <v>505</v>
      </c>
      <c r="E152" s="38" t="s">
        <v>483</v>
      </c>
      <c r="F152" s="39">
        <v>1</v>
      </c>
      <c r="G152" s="40" t="s">
        <v>736</v>
      </c>
      <c r="H152" s="40" t="s">
        <v>736</v>
      </c>
      <c r="I152" s="40" t="s">
        <v>736</v>
      </c>
      <c r="J152" s="41">
        <v>1</v>
      </c>
      <c r="K152" s="40" t="s">
        <v>737</v>
      </c>
      <c r="L152" s="40" t="s">
        <v>587</v>
      </c>
      <c r="M152" s="40" t="s">
        <v>593</v>
      </c>
      <c r="N152" s="42"/>
      <c r="O152" s="43" t="s">
        <v>771</v>
      </c>
      <c r="P152" s="43"/>
      <c r="Q152" s="43"/>
      <c r="R152" s="44"/>
      <c r="S152" s="45"/>
      <c r="T152" s="9"/>
      <c r="U152" s="9"/>
      <c r="V152" s="9"/>
      <c r="W152" s="9"/>
      <c r="X152" s="9"/>
      <c r="Y152" s="9"/>
      <c r="Z152" s="9"/>
      <c r="AA152" s="10"/>
      <c r="AB152" s="10"/>
      <c r="AC152" s="10"/>
      <c r="AD152" s="10"/>
      <c r="AE152" s="10"/>
    </row>
    <row r="153" spans="1:31" ht="24.95" customHeight="1" x14ac:dyDescent="0.25">
      <c r="A153" s="39">
        <v>177</v>
      </c>
      <c r="B153" s="38" t="s">
        <v>509</v>
      </c>
      <c r="C153" s="38" t="s">
        <v>510</v>
      </c>
      <c r="D153" s="38" t="s">
        <v>209</v>
      </c>
      <c r="E153" s="38" t="s">
        <v>483</v>
      </c>
      <c r="F153" s="39">
        <v>1</v>
      </c>
      <c r="G153" s="40" t="s">
        <v>736</v>
      </c>
      <c r="H153" s="40" t="s">
        <v>736</v>
      </c>
      <c r="I153" s="40" t="s">
        <v>736</v>
      </c>
      <c r="J153" s="41">
        <v>1</v>
      </c>
      <c r="K153" s="40" t="s">
        <v>737</v>
      </c>
      <c r="L153" s="40" t="s">
        <v>587</v>
      </c>
      <c r="M153" s="40" t="s">
        <v>582</v>
      </c>
      <c r="N153" s="42" t="s">
        <v>742</v>
      </c>
      <c r="O153" s="43" t="s">
        <v>771</v>
      </c>
      <c r="P153" s="68" t="s">
        <v>483</v>
      </c>
      <c r="Q153" s="43"/>
      <c r="R153" s="44"/>
      <c r="S153" s="45"/>
      <c r="T153" s="9"/>
      <c r="U153" s="9"/>
      <c r="V153" s="9"/>
      <c r="W153" s="9"/>
      <c r="X153" s="9"/>
      <c r="Y153" s="9"/>
      <c r="Z153" s="9"/>
      <c r="AA153" s="10"/>
      <c r="AB153" s="10"/>
      <c r="AC153" s="10"/>
      <c r="AD153" s="10"/>
      <c r="AE153" s="10"/>
    </row>
    <row r="154" spans="1:31" ht="24.95" customHeight="1" x14ac:dyDescent="0.25">
      <c r="A154" s="39">
        <v>178</v>
      </c>
      <c r="B154" s="38" t="s">
        <v>511</v>
      </c>
      <c r="C154" s="38" t="s">
        <v>511</v>
      </c>
      <c r="D154" s="38" t="s">
        <v>24</v>
      </c>
      <c r="E154" s="38" t="s">
        <v>483</v>
      </c>
      <c r="F154" s="39">
        <v>0</v>
      </c>
      <c r="G154" s="40" t="s">
        <v>736</v>
      </c>
      <c r="H154" s="40" t="s">
        <v>736</v>
      </c>
      <c r="I154" s="40" t="s">
        <v>736</v>
      </c>
      <c r="J154" s="41">
        <v>1</v>
      </c>
      <c r="K154" s="40" t="s">
        <v>737</v>
      </c>
      <c r="L154" s="40" t="s">
        <v>587</v>
      </c>
      <c r="M154" s="40" t="s">
        <v>582</v>
      </c>
      <c r="N154" s="42" t="s">
        <v>591</v>
      </c>
      <c r="O154" s="43" t="s">
        <v>771</v>
      </c>
      <c r="P154" s="68" t="s">
        <v>483</v>
      </c>
      <c r="Q154" s="43"/>
      <c r="R154" s="44"/>
      <c r="S154" s="45"/>
      <c r="T154" s="9"/>
      <c r="U154" s="9"/>
      <c r="V154" s="9"/>
      <c r="W154" s="9"/>
      <c r="X154" s="9"/>
      <c r="Y154" s="9"/>
      <c r="Z154" s="9"/>
      <c r="AA154" s="10"/>
      <c r="AB154" s="10"/>
      <c r="AC154" s="10"/>
      <c r="AD154" s="10"/>
      <c r="AE154" s="10"/>
    </row>
    <row r="155" spans="1:31" ht="24.95" customHeight="1" x14ac:dyDescent="0.25">
      <c r="A155" s="39">
        <v>179</v>
      </c>
      <c r="B155" s="38" t="s">
        <v>512</v>
      </c>
      <c r="C155" s="38" t="s">
        <v>513</v>
      </c>
      <c r="D155" s="38" t="s">
        <v>24</v>
      </c>
      <c r="E155" s="38" t="s">
        <v>483</v>
      </c>
      <c r="F155" s="39">
        <v>1</v>
      </c>
      <c r="G155" s="40" t="s">
        <v>736</v>
      </c>
      <c r="H155" s="40" t="s">
        <v>736</v>
      </c>
      <c r="I155" s="40" t="s">
        <v>736</v>
      </c>
      <c r="J155" s="41">
        <v>1</v>
      </c>
      <c r="K155" s="40" t="s">
        <v>737</v>
      </c>
      <c r="L155" s="40" t="s">
        <v>587</v>
      </c>
      <c r="M155" s="40" t="s">
        <v>593</v>
      </c>
      <c r="N155" s="42"/>
      <c r="O155" s="43" t="s">
        <v>771</v>
      </c>
      <c r="P155" s="43"/>
      <c r="Q155" s="43"/>
      <c r="R155" s="44"/>
      <c r="S155" s="45"/>
      <c r="T155" s="9"/>
      <c r="U155" s="9"/>
      <c r="V155" s="9"/>
      <c r="W155" s="9"/>
      <c r="X155" s="9"/>
      <c r="Y155" s="9"/>
      <c r="Z155" s="9"/>
      <c r="AA155" s="10"/>
      <c r="AB155" s="10"/>
      <c r="AC155" s="10"/>
      <c r="AD155" s="10"/>
      <c r="AE155" s="10"/>
    </row>
    <row r="156" spans="1:31" ht="24.95" customHeight="1" x14ac:dyDescent="0.25">
      <c r="A156" s="39">
        <v>180</v>
      </c>
      <c r="B156" s="38" t="s">
        <v>514</v>
      </c>
      <c r="C156" s="38" t="s">
        <v>515</v>
      </c>
      <c r="D156" s="38" t="s">
        <v>516</v>
      </c>
      <c r="E156" s="38" t="s">
        <v>483</v>
      </c>
      <c r="F156" s="39">
        <v>1</v>
      </c>
      <c r="G156" s="40" t="s">
        <v>736</v>
      </c>
      <c r="H156" s="40" t="s">
        <v>736</v>
      </c>
      <c r="I156" s="40" t="s">
        <v>736</v>
      </c>
      <c r="J156" s="41">
        <v>1</v>
      </c>
      <c r="K156" s="40" t="s">
        <v>737</v>
      </c>
      <c r="L156" s="40" t="s">
        <v>587</v>
      </c>
      <c r="M156" s="40" t="s">
        <v>593</v>
      </c>
      <c r="N156" s="42"/>
      <c r="O156" s="43" t="s">
        <v>771</v>
      </c>
      <c r="P156" s="43"/>
      <c r="Q156" s="43"/>
      <c r="R156" s="44"/>
      <c r="S156" s="45"/>
      <c r="T156" s="9"/>
      <c r="U156" s="9"/>
      <c r="V156" s="9"/>
      <c r="W156" s="9"/>
      <c r="X156" s="9"/>
      <c r="Y156" s="9"/>
      <c r="Z156" s="9"/>
      <c r="AA156" s="10"/>
      <c r="AB156" s="10"/>
      <c r="AC156" s="10"/>
      <c r="AD156" s="10"/>
      <c r="AE156" s="10"/>
    </row>
    <row r="157" spans="1:31" ht="24.95" customHeight="1" x14ac:dyDescent="0.25">
      <c r="A157" s="39">
        <v>181</v>
      </c>
      <c r="B157" s="38" t="s">
        <v>517</v>
      </c>
      <c r="C157" s="38" t="s">
        <v>518</v>
      </c>
      <c r="D157" s="38" t="s">
        <v>519</v>
      </c>
      <c r="E157" s="38" t="s">
        <v>483</v>
      </c>
      <c r="F157" s="39">
        <v>1</v>
      </c>
      <c r="G157" s="40" t="s">
        <v>736</v>
      </c>
      <c r="H157" s="40" t="s">
        <v>736</v>
      </c>
      <c r="I157" s="40" t="s">
        <v>736</v>
      </c>
      <c r="J157" s="41">
        <v>1</v>
      </c>
      <c r="K157" s="40" t="s">
        <v>737</v>
      </c>
      <c r="L157" s="40" t="s">
        <v>587</v>
      </c>
      <c r="M157" s="40" t="s">
        <v>593</v>
      </c>
      <c r="N157" s="42"/>
      <c r="O157" s="43" t="s">
        <v>771</v>
      </c>
      <c r="P157" s="43"/>
      <c r="Q157" s="43"/>
      <c r="R157" s="44"/>
      <c r="S157" s="45"/>
      <c r="T157" s="9"/>
      <c r="U157" s="9"/>
      <c r="V157" s="9"/>
      <c r="W157" s="9"/>
      <c r="X157" s="9"/>
      <c r="Y157" s="9"/>
      <c r="Z157" s="9"/>
      <c r="AA157" s="10"/>
      <c r="AB157" s="10"/>
      <c r="AC157" s="10"/>
      <c r="AD157" s="10"/>
      <c r="AE157" s="10"/>
    </row>
    <row r="158" spans="1:31" ht="24.95" customHeight="1" x14ac:dyDescent="0.25">
      <c r="A158" s="39">
        <v>182</v>
      </c>
      <c r="B158" s="38" t="s">
        <v>520</v>
      </c>
      <c r="C158" s="38" t="s">
        <v>521</v>
      </c>
      <c r="D158" s="38" t="s">
        <v>522</v>
      </c>
      <c r="E158" s="38" t="s">
        <v>483</v>
      </c>
      <c r="F158" s="39">
        <v>1</v>
      </c>
      <c r="G158" s="40" t="s">
        <v>585</v>
      </c>
      <c r="H158" s="40" t="s">
        <v>585</v>
      </c>
      <c r="I158" s="40" t="s">
        <v>585</v>
      </c>
      <c r="J158" s="41">
        <v>1</v>
      </c>
      <c r="K158" s="40" t="s">
        <v>739</v>
      </c>
      <c r="L158" s="40" t="s">
        <v>587</v>
      </c>
      <c r="M158" s="40" t="s">
        <v>582</v>
      </c>
      <c r="N158" s="42" t="s">
        <v>743</v>
      </c>
      <c r="O158" s="43" t="s">
        <v>771</v>
      </c>
      <c r="P158" s="68" t="s">
        <v>483</v>
      </c>
      <c r="Q158" s="43"/>
      <c r="R158" s="44"/>
      <c r="S158" s="45"/>
      <c r="T158" s="9"/>
      <c r="U158" s="9"/>
      <c r="V158" s="9"/>
      <c r="W158" s="9"/>
      <c r="X158" s="9"/>
      <c r="Y158" s="9"/>
      <c r="Z158" s="9"/>
      <c r="AA158" s="10"/>
      <c r="AB158" s="10"/>
      <c r="AC158" s="10"/>
      <c r="AD158" s="10"/>
      <c r="AE158" s="10"/>
    </row>
    <row r="159" spans="1:31" ht="24.95" customHeight="1" x14ac:dyDescent="0.25">
      <c r="A159" s="39">
        <v>183</v>
      </c>
      <c r="B159" s="38" t="s">
        <v>523</v>
      </c>
      <c r="C159" s="38" t="s">
        <v>524</v>
      </c>
      <c r="D159" s="38" t="s">
        <v>525</v>
      </c>
      <c r="E159" s="38" t="s">
        <v>483</v>
      </c>
      <c r="F159" s="39">
        <v>0</v>
      </c>
      <c r="G159" s="40" t="s">
        <v>736</v>
      </c>
      <c r="H159" s="40" t="s">
        <v>736</v>
      </c>
      <c r="I159" s="40" t="s">
        <v>736</v>
      </c>
      <c r="J159" s="41">
        <v>1</v>
      </c>
      <c r="K159" s="40" t="s">
        <v>737</v>
      </c>
      <c r="L159" s="40" t="s">
        <v>587</v>
      </c>
      <c r="M159" s="40" t="s">
        <v>582</v>
      </c>
      <c r="N159" s="42" t="s">
        <v>591</v>
      </c>
      <c r="O159" s="43" t="s">
        <v>771</v>
      </c>
      <c r="P159" s="68" t="s">
        <v>483</v>
      </c>
      <c r="Q159" s="43"/>
      <c r="R159" s="44"/>
      <c r="S159" s="45"/>
      <c r="T159" s="9"/>
      <c r="U159" s="9"/>
      <c r="V159" s="9"/>
      <c r="W159" s="9"/>
      <c r="X159" s="9"/>
      <c r="Y159" s="9"/>
      <c r="Z159" s="9"/>
      <c r="AA159" s="10"/>
      <c r="AB159" s="10"/>
      <c r="AC159" s="10"/>
      <c r="AD159" s="10"/>
      <c r="AE159" s="10"/>
    </row>
    <row r="160" spans="1:31" ht="24.95" customHeight="1" x14ac:dyDescent="0.25">
      <c r="A160" s="39">
        <v>184</v>
      </c>
      <c r="B160" s="38" t="s">
        <v>526</v>
      </c>
      <c r="C160" s="38" t="s">
        <v>527</v>
      </c>
      <c r="D160" s="38" t="s">
        <v>528</v>
      </c>
      <c r="E160" s="38" t="s">
        <v>483</v>
      </c>
      <c r="F160" s="39">
        <v>0</v>
      </c>
      <c r="G160" s="40" t="s">
        <v>736</v>
      </c>
      <c r="H160" s="40" t="s">
        <v>736</v>
      </c>
      <c r="I160" s="40" t="s">
        <v>736</v>
      </c>
      <c r="J160" s="41">
        <v>1</v>
      </c>
      <c r="K160" s="40" t="s">
        <v>737</v>
      </c>
      <c r="L160" s="40" t="s">
        <v>587</v>
      </c>
      <c r="M160" s="40" t="s">
        <v>582</v>
      </c>
      <c r="N160" s="42" t="s">
        <v>591</v>
      </c>
      <c r="O160" s="43" t="s">
        <v>771</v>
      </c>
      <c r="P160" s="68" t="s">
        <v>483</v>
      </c>
      <c r="Q160" s="43"/>
      <c r="R160" s="44"/>
      <c r="S160" s="45"/>
      <c r="T160" s="9"/>
      <c r="U160" s="9"/>
      <c r="V160" s="9"/>
      <c r="W160" s="9"/>
      <c r="X160" s="9"/>
      <c r="Y160" s="9"/>
      <c r="Z160" s="9"/>
      <c r="AA160" s="10"/>
      <c r="AB160" s="10"/>
      <c r="AC160" s="10"/>
      <c r="AD160" s="10"/>
      <c r="AE160" s="10"/>
    </row>
    <row r="161" spans="1:31" ht="24.95" customHeight="1" x14ac:dyDescent="0.25">
      <c r="A161" s="39">
        <v>185</v>
      </c>
      <c r="B161" s="38" t="s">
        <v>529</v>
      </c>
      <c r="C161" s="38" t="s">
        <v>530</v>
      </c>
      <c r="D161" s="38" t="s">
        <v>531</v>
      </c>
      <c r="E161" s="38" t="s">
        <v>532</v>
      </c>
      <c r="F161" s="39">
        <v>1</v>
      </c>
      <c r="G161" s="40" t="s">
        <v>744</v>
      </c>
      <c r="H161" s="40" t="s">
        <v>744</v>
      </c>
      <c r="I161" s="40" t="s">
        <v>744</v>
      </c>
      <c r="J161" s="41"/>
      <c r="K161" s="40" t="s">
        <v>590</v>
      </c>
      <c r="L161" s="40" t="s">
        <v>587</v>
      </c>
      <c r="M161" s="40" t="s">
        <v>582</v>
      </c>
      <c r="N161" s="42" t="s">
        <v>745</v>
      </c>
      <c r="O161" s="43" t="s">
        <v>771</v>
      </c>
      <c r="P161" s="43"/>
      <c r="Q161" s="43"/>
      <c r="R161" s="44"/>
      <c r="S161" s="45"/>
      <c r="T161" s="9"/>
      <c r="U161" s="9"/>
      <c r="V161" s="9"/>
      <c r="W161" s="9"/>
      <c r="X161" s="9"/>
      <c r="Y161" s="9"/>
      <c r="Z161" s="9"/>
      <c r="AA161" s="10"/>
      <c r="AB161" s="10"/>
      <c r="AC161" s="10"/>
      <c r="AD161" s="10"/>
      <c r="AE161" s="10"/>
    </row>
    <row r="162" spans="1:31" ht="24.95" customHeight="1" x14ac:dyDescent="0.25">
      <c r="A162" s="39">
        <v>186</v>
      </c>
      <c r="B162" s="38" t="s">
        <v>533</v>
      </c>
      <c r="C162" s="38" t="s">
        <v>534</v>
      </c>
      <c r="D162" s="38" t="s">
        <v>535</v>
      </c>
      <c r="E162" s="38" t="s">
        <v>532</v>
      </c>
      <c r="F162" s="39">
        <v>1</v>
      </c>
      <c r="G162" s="40" t="s">
        <v>746</v>
      </c>
      <c r="H162" s="40" t="s">
        <v>746</v>
      </c>
      <c r="I162" s="40" t="s">
        <v>746</v>
      </c>
      <c r="J162" s="41">
        <v>1</v>
      </c>
      <c r="K162" s="40" t="s">
        <v>590</v>
      </c>
      <c r="L162" s="40" t="s">
        <v>587</v>
      </c>
      <c r="M162" s="40" t="s">
        <v>593</v>
      </c>
      <c r="N162" s="42"/>
      <c r="O162" s="68" t="s">
        <v>771</v>
      </c>
      <c r="P162" s="68" t="s">
        <v>893</v>
      </c>
      <c r="Q162" s="68" t="s">
        <v>896</v>
      </c>
      <c r="R162" s="44"/>
      <c r="S162" s="45" t="s">
        <v>911</v>
      </c>
      <c r="T162" s="9"/>
      <c r="U162" s="9"/>
      <c r="V162" s="9"/>
      <c r="W162" s="9"/>
      <c r="X162" s="9"/>
      <c r="Y162" s="9"/>
      <c r="Z162" s="9"/>
      <c r="AA162" s="10"/>
      <c r="AB162" s="10"/>
      <c r="AC162" s="10"/>
      <c r="AD162" s="10"/>
      <c r="AE162" s="10"/>
    </row>
    <row r="163" spans="1:31" ht="24.95" customHeight="1" x14ac:dyDescent="0.25">
      <c r="A163" s="39">
        <v>187</v>
      </c>
      <c r="B163" s="38" t="s">
        <v>536</v>
      </c>
      <c r="C163" s="38" t="s">
        <v>537</v>
      </c>
      <c r="D163" s="38" t="s">
        <v>537</v>
      </c>
      <c r="E163" s="38" t="s">
        <v>532</v>
      </c>
      <c r="F163" s="39">
        <v>0</v>
      </c>
      <c r="G163" s="40" t="s">
        <v>744</v>
      </c>
      <c r="H163" s="40" t="s">
        <v>744</v>
      </c>
      <c r="I163" s="40" t="s">
        <v>744</v>
      </c>
      <c r="J163" s="41"/>
      <c r="K163" s="40" t="s">
        <v>747</v>
      </c>
      <c r="L163" s="40" t="s">
        <v>581</v>
      </c>
      <c r="M163" s="40" t="s">
        <v>582</v>
      </c>
      <c r="N163" s="42" t="s">
        <v>748</v>
      </c>
      <c r="O163" s="43" t="s">
        <v>771</v>
      </c>
      <c r="P163" s="43" t="s">
        <v>893</v>
      </c>
      <c r="Q163" s="43" t="s">
        <v>896</v>
      </c>
      <c r="R163" s="44"/>
      <c r="S163" s="45" t="s">
        <v>911</v>
      </c>
      <c r="T163" s="9"/>
      <c r="U163" s="9"/>
      <c r="V163" s="9"/>
      <c r="W163" s="9"/>
      <c r="X163" s="9"/>
      <c r="Y163" s="9"/>
      <c r="Z163" s="9"/>
      <c r="AA163" s="10"/>
      <c r="AB163" s="10"/>
      <c r="AC163" s="10"/>
      <c r="AD163" s="10"/>
      <c r="AE163" s="10"/>
    </row>
    <row r="164" spans="1:31" ht="24.95" customHeight="1" x14ac:dyDescent="0.25">
      <c r="A164" s="39">
        <v>188</v>
      </c>
      <c r="B164" s="38" t="s">
        <v>538</v>
      </c>
      <c r="C164" s="38" t="s">
        <v>539</v>
      </c>
      <c r="D164" s="38" t="s">
        <v>540</v>
      </c>
      <c r="E164" s="38" t="s">
        <v>532</v>
      </c>
      <c r="F164" s="39">
        <v>1</v>
      </c>
      <c r="G164" s="40" t="s">
        <v>744</v>
      </c>
      <c r="H164" s="40" t="s">
        <v>744</v>
      </c>
      <c r="I164" s="40" t="s">
        <v>744</v>
      </c>
      <c r="J164" s="41"/>
      <c r="K164" s="40" t="s">
        <v>747</v>
      </c>
      <c r="L164" s="40" t="s">
        <v>581</v>
      </c>
      <c r="M164" s="40" t="s">
        <v>582</v>
      </c>
      <c r="N164" s="42" t="s">
        <v>749</v>
      </c>
      <c r="O164" s="43" t="s">
        <v>771</v>
      </c>
      <c r="P164" s="43" t="s">
        <v>893</v>
      </c>
      <c r="Q164" s="43" t="s">
        <v>896</v>
      </c>
      <c r="R164" s="44"/>
      <c r="S164" s="45" t="s">
        <v>911</v>
      </c>
      <c r="T164" s="9"/>
      <c r="U164" s="9"/>
      <c r="V164" s="9"/>
      <c r="W164" s="9"/>
      <c r="X164" s="9"/>
      <c r="Y164" s="9"/>
      <c r="Z164" s="9"/>
      <c r="AA164" s="10"/>
      <c r="AB164" s="10"/>
      <c r="AC164" s="10"/>
      <c r="AD164" s="10"/>
      <c r="AE164" s="10"/>
    </row>
  </sheetData>
  <mergeCells count="7">
    <mergeCell ref="T3:Z3"/>
    <mergeCell ref="AA3:AE3"/>
    <mergeCell ref="A1:S1"/>
    <mergeCell ref="A2:S2"/>
    <mergeCell ref="A3:F3"/>
    <mergeCell ref="G3:N3"/>
    <mergeCell ref="O3:S3"/>
  </mergeCells>
  <conditionalFormatting sqref="M5:M164">
    <cfRule type="expression" dxfId="4" priority="1">
      <formula>$M5="Perlu konfirmasi"</formula>
    </cfRule>
    <cfRule type="expression" dxfId="3" priority="2">
      <formula>$M5="Review usulan"</formula>
    </cfRule>
  </conditionalFormatting>
  <conditionalFormatting sqref="O5:O164">
    <cfRule type="expression" dxfId="2" priority="3">
      <formula>$O5="Disetujui"</formula>
    </cfRule>
    <cfRule type="expression" dxfId="1" priority="4">
      <formula>$O5="Revisi"</formula>
    </cfRule>
    <cfRule type="expression" dxfId="0" priority="5">
      <formula>$O5="Tanya klinik"</formula>
    </cfRule>
  </conditionalFormatting>
  <dataValidations count="2">
    <dataValidation type="list" sqref="O5:O164" xr:uid="{00000000-0002-0000-0100-000000000000}">
      <formula1>"Belum direview,Disetujui,Revisi,Tanya klinik"</formula1>
    </dataValidation>
    <dataValidation type="list" sqref="AE5:AE164" xr:uid="{00000000-0002-0000-0100-000001000000}">
      <formula1>"Belum direview,Sesuai,Perlu revisi,Tanya klinik,Tidak terkait"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>
      <pane ySplit="4" topLeftCell="A5" activePane="bottomLeft" state="frozen"/>
      <selection pane="bottomLeft" activeCell="B9" sqref="B9"/>
    </sheetView>
  </sheetViews>
  <sheetFormatPr defaultRowHeight="15" x14ac:dyDescent="0.25"/>
  <cols>
    <col min="1" max="1" width="35" style="14" customWidth="1"/>
    <col min="2" max="2" width="18" style="14" customWidth="1"/>
    <col min="3" max="3" width="4" style="14" customWidth="1"/>
    <col min="4" max="4" width="18" style="14" customWidth="1"/>
    <col min="5" max="5" width="25" style="14" customWidth="1"/>
    <col min="6" max="8" width="24" style="14" customWidth="1"/>
    <col min="9" max="16384" width="9.140625" style="14"/>
  </cols>
  <sheetData>
    <row r="1" spans="1:8" ht="42" customHeight="1" x14ac:dyDescent="0.25">
      <c r="A1" s="61" t="s">
        <v>750</v>
      </c>
      <c r="B1" s="61"/>
      <c r="C1" s="61"/>
      <c r="D1" s="61"/>
      <c r="E1" s="61"/>
      <c r="F1" s="61"/>
      <c r="G1" s="61"/>
      <c r="H1" s="61"/>
    </row>
    <row r="2" spans="1:8" ht="27.95" customHeight="1" x14ac:dyDescent="0.25">
      <c r="A2" s="51" t="s">
        <v>751</v>
      </c>
      <c r="B2" s="51"/>
      <c r="C2" s="51"/>
      <c r="D2" s="51"/>
      <c r="E2" s="51"/>
      <c r="F2" s="51"/>
      <c r="G2" s="51"/>
      <c r="H2" s="51"/>
    </row>
    <row r="4" spans="1:8" ht="27.95" customHeight="1" x14ac:dyDescent="0.25">
      <c r="A4" s="15" t="s">
        <v>752</v>
      </c>
      <c r="B4" s="15" t="s">
        <v>753</v>
      </c>
      <c r="D4" s="56" t="s">
        <v>754</v>
      </c>
      <c r="E4" s="56"/>
      <c r="F4" s="56"/>
      <c r="G4" s="56"/>
      <c r="H4" s="56"/>
    </row>
    <row r="5" spans="1:8" ht="35.1" customHeight="1" x14ac:dyDescent="0.25">
      <c r="A5" s="16" t="s">
        <v>755</v>
      </c>
      <c r="B5" s="17">
        <f>COUNTA('Review Satuan'!$C$5:$C$164)</f>
        <v>160</v>
      </c>
      <c r="D5" s="18" t="s">
        <v>756</v>
      </c>
      <c r="E5" s="18" t="s">
        <v>757</v>
      </c>
      <c r="F5" s="62" t="s">
        <v>758</v>
      </c>
      <c r="G5" s="62"/>
      <c r="H5" s="62"/>
    </row>
    <row r="6" spans="1:8" ht="35.1" customHeight="1" x14ac:dyDescent="0.25">
      <c r="A6" s="16" t="s">
        <v>582</v>
      </c>
      <c r="B6" s="17">
        <f>COUNTIF('Review Satuan'!$M$5:$M$164,"Perlu konfirmasi")</f>
        <v>58</v>
      </c>
      <c r="D6" s="19" t="s">
        <v>759</v>
      </c>
      <c r="E6" s="19" t="s">
        <v>760</v>
      </c>
      <c r="F6" s="63" t="s">
        <v>761</v>
      </c>
      <c r="G6" s="63"/>
      <c r="H6" s="63"/>
    </row>
    <row r="7" spans="1:8" ht="35.1" customHeight="1" x14ac:dyDescent="0.25">
      <c r="A7" s="16" t="s">
        <v>593</v>
      </c>
      <c r="B7" s="17">
        <f>COUNTIF('Review Satuan'!$M$5:$M$164,"Review usulan")</f>
        <v>102</v>
      </c>
      <c r="D7" s="20" t="s">
        <v>762</v>
      </c>
      <c r="E7" s="20" t="s">
        <v>763</v>
      </c>
      <c r="F7" s="58" t="s">
        <v>764</v>
      </c>
      <c r="G7" s="58"/>
      <c r="H7" s="58"/>
    </row>
    <row r="8" spans="1:8" ht="35.1" customHeight="1" x14ac:dyDescent="0.25">
      <c r="A8" s="16" t="s">
        <v>765</v>
      </c>
      <c r="B8" s="17">
        <f>COUNTBLANK('Review Satuan'!$J$5:$J$164)</f>
        <v>31</v>
      </c>
      <c r="D8" s="21" t="s">
        <v>766</v>
      </c>
      <c r="E8" s="21" t="s">
        <v>767</v>
      </c>
      <c r="F8" s="59" t="s">
        <v>768</v>
      </c>
      <c r="G8" s="59"/>
      <c r="H8" s="59"/>
    </row>
    <row r="9" spans="1:8" ht="35.1" customHeight="1" x14ac:dyDescent="0.25">
      <c r="A9" s="16" t="s">
        <v>584</v>
      </c>
      <c r="B9" s="17">
        <f>COUNTIF('Review Satuan'!$O$5:$O$164,"Belum direview")</f>
        <v>0</v>
      </c>
      <c r="D9" s="22" t="s">
        <v>769</v>
      </c>
      <c r="E9" s="22" t="s">
        <v>582</v>
      </c>
      <c r="F9" s="60" t="s">
        <v>770</v>
      </c>
      <c r="G9" s="60"/>
      <c r="H9" s="60"/>
    </row>
    <row r="10" spans="1:8" ht="24.95" customHeight="1" x14ac:dyDescent="0.25">
      <c r="A10" s="16" t="s">
        <v>771</v>
      </c>
      <c r="B10" s="17">
        <f>COUNTIF('Review Satuan'!$O$5:$O$164,"Disetujui")</f>
        <v>155</v>
      </c>
    </row>
    <row r="11" spans="1:8" ht="24.95" customHeight="1" x14ac:dyDescent="0.25">
      <c r="A11" s="16" t="s">
        <v>772</v>
      </c>
      <c r="B11" s="17">
        <f>COUNTIF('Review Satuan'!$O$5:$O$164,"Revisi")</f>
        <v>3</v>
      </c>
    </row>
    <row r="12" spans="1:8" ht="24.95" customHeight="1" x14ac:dyDescent="0.25">
      <c r="A12" s="16" t="s">
        <v>773</v>
      </c>
      <c r="B12" s="17">
        <f>COUNTIF('Review Satuan'!$O$5:$O$164,"Tanya klinik")</f>
        <v>2</v>
      </c>
    </row>
    <row r="15" spans="1:8" ht="27.95" customHeight="1" x14ac:dyDescent="0.25">
      <c r="A15" s="56" t="s">
        <v>774</v>
      </c>
      <c r="B15" s="56"/>
      <c r="C15" s="56"/>
      <c r="D15" s="56"/>
      <c r="E15" s="56"/>
      <c r="F15" s="56"/>
      <c r="G15" s="56"/>
      <c r="H15" s="56"/>
    </row>
    <row r="16" spans="1:8" ht="27.95" customHeight="1" x14ac:dyDescent="0.25">
      <c r="A16" s="57" t="s">
        <v>775</v>
      </c>
      <c r="B16" s="57"/>
      <c r="C16" s="57"/>
      <c r="D16" s="57"/>
      <c r="E16" s="57"/>
      <c r="F16" s="57"/>
      <c r="G16" s="57"/>
      <c r="H16" s="57"/>
    </row>
    <row r="17" spans="1:8" ht="27.95" customHeight="1" x14ac:dyDescent="0.25">
      <c r="A17" s="57" t="s">
        <v>776</v>
      </c>
      <c r="B17" s="57"/>
      <c r="C17" s="57"/>
      <c r="D17" s="57"/>
      <c r="E17" s="57"/>
      <c r="F17" s="57"/>
      <c r="G17" s="57"/>
      <c r="H17" s="57"/>
    </row>
    <row r="18" spans="1:8" ht="27.95" customHeight="1" x14ac:dyDescent="0.25">
      <c r="A18" s="57" t="s">
        <v>777</v>
      </c>
      <c r="B18" s="57"/>
      <c r="C18" s="57"/>
      <c r="D18" s="57"/>
      <c r="E18" s="57"/>
      <c r="F18" s="57"/>
      <c r="G18" s="57"/>
      <c r="H18" s="57"/>
    </row>
    <row r="19" spans="1:8" ht="27.95" customHeight="1" x14ac:dyDescent="0.25">
      <c r="A19" s="57" t="s">
        <v>778</v>
      </c>
      <c r="B19" s="57"/>
      <c r="C19" s="57"/>
      <c r="D19" s="57"/>
      <c r="E19" s="57"/>
      <c r="F19" s="57"/>
      <c r="G19" s="57"/>
      <c r="H19" s="57"/>
    </row>
    <row r="20" spans="1:8" ht="27.95" customHeight="1" x14ac:dyDescent="0.25">
      <c r="A20" s="57" t="s">
        <v>779</v>
      </c>
      <c r="B20" s="57"/>
      <c r="C20" s="57"/>
      <c r="D20" s="57"/>
      <c r="E20" s="57"/>
      <c r="F20" s="57"/>
      <c r="G20" s="57"/>
      <c r="H20" s="57"/>
    </row>
    <row r="21" spans="1:8" ht="27.95" customHeight="1" x14ac:dyDescent="0.25">
      <c r="A21" s="57" t="s">
        <v>780</v>
      </c>
      <c r="B21" s="57"/>
      <c r="C21" s="57"/>
      <c r="D21" s="57"/>
      <c r="E21" s="57"/>
      <c r="F21" s="57"/>
      <c r="G21" s="57"/>
      <c r="H21" s="57"/>
    </row>
    <row r="23" spans="1:8" ht="27.95" customHeight="1" x14ac:dyDescent="0.25">
      <c r="A23" s="56" t="s">
        <v>781</v>
      </c>
      <c r="B23" s="56"/>
      <c r="C23" s="56"/>
      <c r="D23" s="56"/>
      <c r="E23" s="56"/>
      <c r="F23" s="56"/>
      <c r="G23" s="56"/>
      <c r="H23" s="56"/>
    </row>
    <row r="24" spans="1:8" ht="29.1" customHeight="1" x14ac:dyDescent="0.25">
      <c r="A24" s="55" t="s">
        <v>782</v>
      </c>
      <c r="B24" s="55"/>
      <c r="C24" s="55"/>
      <c r="D24" s="55"/>
      <c r="E24" s="55"/>
      <c r="F24" s="55"/>
      <c r="G24" s="55"/>
      <c r="H24" s="55"/>
    </row>
    <row r="25" spans="1:8" ht="29.1" customHeight="1" x14ac:dyDescent="0.25">
      <c r="A25" s="55" t="s">
        <v>783</v>
      </c>
      <c r="B25" s="55"/>
      <c r="C25" s="55"/>
      <c r="D25" s="55"/>
      <c r="E25" s="55"/>
      <c r="F25" s="55"/>
      <c r="G25" s="55"/>
      <c r="H25" s="55"/>
    </row>
    <row r="26" spans="1:8" ht="29.1" customHeight="1" x14ac:dyDescent="0.25">
      <c r="A26" s="55" t="s">
        <v>784</v>
      </c>
      <c r="B26" s="55"/>
      <c r="C26" s="55"/>
      <c r="D26" s="55"/>
      <c r="E26" s="55"/>
      <c r="F26" s="55"/>
      <c r="G26" s="55"/>
      <c r="H26" s="55"/>
    </row>
    <row r="27" spans="1:8" ht="29.1" customHeight="1" x14ac:dyDescent="0.25">
      <c r="A27" s="55" t="s">
        <v>785</v>
      </c>
      <c r="B27" s="55"/>
      <c r="C27" s="55"/>
      <c r="D27" s="55"/>
      <c r="E27" s="55"/>
      <c r="F27" s="55"/>
      <c r="G27" s="55"/>
      <c r="H27" s="55"/>
    </row>
    <row r="28" spans="1:8" ht="29.1" customHeight="1" x14ac:dyDescent="0.25">
      <c r="A28" s="55" t="s">
        <v>786</v>
      </c>
      <c r="B28" s="55"/>
      <c r="C28" s="55"/>
      <c r="D28" s="55"/>
      <c r="E28" s="55"/>
      <c r="F28" s="55"/>
      <c r="G28" s="55"/>
      <c r="H28" s="55"/>
    </row>
    <row r="29" spans="1:8" ht="29.1" customHeight="1" x14ac:dyDescent="0.25">
      <c r="A29" s="55" t="s">
        <v>787</v>
      </c>
      <c r="B29" s="55"/>
      <c r="C29" s="55"/>
      <c r="D29" s="55"/>
      <c r="E29" s="55"/>
      <c r="F29" s="55"/>
      <c r="G29" s="55"/>
      <c r="H29" s="55"/>
    </row>
    <row r="30" spans="1:8" ht="29.1" customHeight="1" x14ac:dyDescent="0.25">
      <c r="A30" s="55" t="s">
        <v>788</v>
      </c>
      <c r="B30" s="55"/>
      <c r="C30" s="55"/>
      <c r="D30" s="55"/>
      <c r="E30" s="55"/>
      <c r="F30" s="55"/>
      <c r="G30" s="55"/>
      <c r="H30" s="55"/>
    </row>
    <row r="31" spans="1:8" ht="29.1" customHeight="1" x14ac:dyDescent="0.25">
      <c r="A31" s="55" t="s">
        <v>789</v>
      </c>
      <c r="B31" s="55"/>
      <c r="C31" s="55"/>
      <c r="D31" s="55"/>
      <c r="E31" s="55"/>
      <c r="F31" s="55"/>
      <c r="G31" s="55"/>
      <c r="H31" s="55"/>
    </row>
    <row r="33" spans="1:6" ht="29.1" customHeight="1" x14ac:dyDescent="0.25">
      <c r="A33" s="23" t="s">
        <v>790</v>
      </c>
      <c r="B33" s="23"/>
      <c r="C33" s="23"/>
      <c r="D33" s="23"/>
      <c r="E33" s="23"/>
      <c r="F33" s="23"/>
    </row>
    <row r="34" spans="1:6" ht="42" customHeight="1" x14ac:dyDescent="0.25">
      <c r="A34" s="24" t="s">
        <v>791</v>
      </c>
      <c r="B34" s="25"/>
      <c r="C34" s="25"/>
      <c r="D34" s="25"/>
      <c r="E34" s="25"/>
      <c r="F34" s="25"/>
    </row>
    <row r="35" spans="1:6" ht="42" customHeight="1" x14ac:dyDescent="0.25">
      <c r="A35" s="24" t="s">
        <v>792</v>
      </c>
      <c r="B35" s="25"/>
      <c r="C35" s="25"/>
      <c r="D35" s="25"/>
      <c r="E35" s="25"/>
      <c r="F35" s="25"/>
    </row>
    <row r="36" spans="1:6" ht="42" customHeight="1" x14ac:dyDescent="0.25">
      <c r="A36" s="24" t="s">
        <v>793</v>
      </c>
      <c r="B36" s="25"/>
      <c r="C36" s="25"/>
      <c r="D36" s="25"/>
      <c r="E36" s="25"/>
      <c r="F36" s="25"/>
    </row>
    <row r="37" spans="1:6" ht="42" customHeight="1" x14ac:dyDescent="0.25">
      <c r="A37" s="24" t="s">
        <v>794</v>
      </c>
      <c r="B37" s="25"/>
      <c r="C37" s="25"/>
      <c r="D37" s="25"/>
      <c r="E37" s="25"/>
      <c r="F37" s="25"/>
    </row>
    <row r="38" spans="1:6" ht="42" customHeight="1" x14ac:dyDescent="0.25">
      <c r="A38" s="24" t="s">
        <v>795</v>
      </c>
      <c r="B38" s="25"/>
      <c r="C38" s="25"/>
      <c r="D38" s="25"/>
      <c r="E38" s="25"/>
      <c r="F38" s="25"/>
    </row>
    <row r="39" spans="1:6" ht="42" customHeight="1" x14ac:dyDescent="0.25">
      <c r="A39" s="24" t="s">
        <v>796</v>
      </c>
      <c r="B39" s="25"/>
      <c r="C39" s="25"/>
      <c r="D39" s="25"/>
      <c r="E39" s="25"/>
      <c r="F39" s="25"/>
    </row>
    <row r="40" spans="1:6" ht="42" customHeight="1" x14ac:dyDescent="0.25">
      <c r="A40" s="24" t="s">
        <v>797</v>
      </c>
      <c r="B40" s="25"/>
      <c r="C40" s="25"/>
      <c r="D40" s="25"/>
      <c r="E40" s="25"/>
      <c r="F40" s="25"/>
    </row>
    <row r="41" spans="1:6" ht="42" customHeight="1" x14ac:dyDescent="0.25">
      <c r="A41" s="24" t="s">
        <v>798</v>
      </c>
      <c r="B41" s="25"/>
      <c r="C41" s="25"/>
      <c r="D41" s="25"/>
      <c r="E41" s="25"/>
      <c r="F41" s="25"/>
    </row>
    <row r="42" spans="1:6" ht="42" customHeight="1" x14ac:dyDescent="0.25">
      <c r="A42" s="24" t="s">
        <v>799</v>
      </c>
      <c r="B42" s="25"/>
      <c r="C42" s="25"/>
      <c r="D42" s="25"/>
      <c r="E42" s="25"/>
      <c r="F42" s="25"/>
    </row>
    <row r="43" spans="1:6" ht="42" customHeight="1" x14ac:dyDescent="0.25">
      <c r="A43" s="24" t="s">
        <v>800</v>
      </c>
      <c r="B43" s="25"/>
      <c r="C43" s="25"/>
      <c r="D43" s="25"/>
      <c r="E43" s="25"/>
      <c r="F43" s="25"/>
    </row>
    <row r="44" spans="1:6" ht="42" customHeight="1" x14ac:dyDescent="0.25">
      <c r="A44" s="24" t="s">
        <v>801</v>
      </c>
      <c r="B44" s="25"/>
      <c r="C44" s="25"/>
      <c r="D44" s="25"/>
      <c r="E44" s="25"/>
      <c r="F44" s="25"/>
    </row>
  </sheetData>
  <mergeCells count="24">
    <mergeCell ref="A1:H1"/>
    <mergeCell ref="A2:H2"/>
    <mergeCell ref="D4:H4"/>
    <mergeCell ref="F5:H5"/>
    <mergeCell ref="F6:H6"/>
    <mergeCell ref="F7:H7"/>
    <mergeCell ref="F8:H8"/>
    <mergeCell ref="F9:H9"/>
    <mergeCell ref="A15:H15"/>
    <mergeCell ref="A16:H16"/>
    <mergeCell ref="A17:H17"/>
    <mergeCell ref="A18:H18"/>
    <mergeCell ref="A19:H19"/>
    <mergeCell ref="A20:H20"/>
    <mergeCell ref="A21:H21"/>
    <mergeCell ref="A28:H28"/>
    <mergeCell ref="A29:H29"/>
    <mergeCell ref="A30:H30"/>
    <mergeCell ref="A31:H31"/>
    <mergeCell ref="A23:H23"/>
    <mergeCell ref="A24:H24"/>
    <mergeCell ref="A25:H25"/>
    <mergeCell ref="A26:H26"/>
    <mergeCell ref="A27:H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topLeftCell="I1" zoomScale="85" zoomScaleNormal="85" workbookViewId="0">
      <pane ySplit="7" topLeftCell="A9" activePane="bottomLeft" state="frozen"/>
      <selection pane="bottomLeft" activeCell="K20" sqref="K20"/>
    </sheetView>
  </sheetViews>
  <sheetFormatPr defaultRowHeight="15" x14ac:dyDescent="0.25"/>
  <cols>
    <col min="1" max="1" width="7" style="35" customWidth="1"/>
    <col min="2" max="2" width="27" customWidth="1"/>
    <col min="3" max="3" width="16" style="35" customWidth="1"/>
    <col min="4" max="4" width="20" customWidth="1"/>
    <col min="5" max="5" width="21" customWidth="1"/>
    <col min="6" max="6" width="29" customWidth="1"/>
    <col min="7" max="7" width="18" customWidth="1"/>
    <col min="8" max="8" width="30" customWidth="1"/>
    <col min="9" max="9" width="77" customWidth="1"/>
    <col min="10" max="10" width="79" customWidth="1"/>
    <col min="11" max="11" width="25" customWidth="1"/>
    <col min="12" max="12" width="23" customWidth="1"/>
    <col min="13" max="13" width="22" customWidth="1"/>
  </cols>
  <sheetData>
    <row r="1" spans="1:13" ht="38.1" customHeight="1" x14ac:dyDescent="0.25">
      <c r="A1" s="64" t="s">
        <v>802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30" customHeight="1" x14ac:dyDescent="0.25">
      <c r="A2" s="65" t="s">
        <v>803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ht="29.1" customHeight="1" x14ac:dyDescent="0.25">
      <c r="A3" s="66" t="s">
        <v>804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5" spans="1:13" ht="24.95" customHeight="1" x14ac:dyDescent="0.25">
      <c r="A5" s="37" t="s">
        <v>805</v>
      </c>
      <c r="B5" s="13">
        <v>15</v>
      </c>
      <c r="C5" s="37" t="s">
        <v>806</v>
      </c>
      <c r="D5" s="13">
        <v>3</v>
      </c>
      <c r="E5" s="13"/>
      <c r="F5" s="13" t="s">
        <v>807</v>
      </c>
      <c r="G5" s="13">
        <v>14</v>
      </c>
      <c r="H5" s="13" t="s">
        <v>808</v>
      </c>
      <c r="I5" s="13">
        <v>1</v>
      </c>
    </row>
    <row r="7" spans="1:13" ht="36.950000000000003" customHeight="1" x14ac:dyDescent="0.25">
      <c r="A7" s="33" t="s">
        <v>548</v>
      </c>
      <c r="B7" s="26" t="s">
        <v>809</v>
      </c>
      <c r="C7" s="33" t="s">
        <v>810</v>
      </c>
      <c r="D7" s="26" t="s">
        <v>811</v>
      </c>
      <c r="E7" s="26" t="s">
        <v>812</v>
      </c>
      <c r="F7" s="26" t="s">
        <v>813</v>
      </c>
      <c r="G7" s="26" t="s">
        <v>814</v>
      </c>
      <c r="H7" s="26" t="s">
        <v>571</v>
      </c>
      <c r="I7" s="26" t="s">
        <v>815</v>
      </c>
      <c r="J7" s="26" t="s">
        <v>816</v>
      </c>
      <c r="K7" s="26" t="s">
        <v>817</v>
      </c>
      <c r="L7" s="26" t="s">
        <v>818</v>
      </c>
      <c r="M7" s="26" t="s">
        <v>819</v>
      </c>
    </row>
    <row r="8" spans="1:13" ht="53.1" customHeight="1" x14ac:dyDescent="0.25">
      <c r="A8" s="34">
        <v>1</v>
      </c>
      <c r="B8" s="27" t="s">
        <v>671</v>
      </c>
      <c r="C8" s="34" t="s">
        <v>672</v>
      </c>
      <c r="D8" s="27" t="s">
        <v>672</v>
      </c>
      <c r="E8" s="27" t="s">
        <v>254</v>
      </c>
      <c r="F8" s="27" t="s">
        <v>255</v>
      </c>
      <c r="G8" s="27" t="s">
        <v>621</v>
      </c>
      <c r="H8" s="29" t="s">
        <v>663</v>
      </c>
      <c r="I8" s="29" t="s">
        <v>673</v>
      </c>
      <c r="J8" s="29" t="s">
        <v>674</v>
      </c>
      <c r="K8" s="31"/>
      <c r="L8" s="70" t="s">
        <v>912</v>
      </c>
      <c r="M8" s="31" t="s">
        <v>771</v>
      </c>
    </row>
    <row r="9" spans="1:13" ht="53.1" customHeight="1" x14ac:dyDescent="0.25">
      <c r="A9" s="34">
        <v>2</v>
      </c>
      <c r="B9" s="27" t="s">
        <v>712</v>
      </c>
      <c r="C9" s="34" t="s">
        <v>672</v>
      </c>
      <c r="D9" s="27" t="s">
        <v>672</v>
      </c>
      <c r="E9" s="27" t="s">
        <v>359</v>
      </c>
      <c r="F9" s="27" t="s">
        <v>711</v>
      </c>
      <c r="G9" s="27" t="s">
        <v>621</v>
      </c>
      <c r="H9" s="29" t="s">
        <v>663</v>
      </c>
      <c r="I9" s="29" t="s">
        <v>713</v>
      </c>
      <c r="J9" s="29" t="s">
        <v>714</v>
      </c>
      <c r="K9" s="31"/>
      <c r="L9" s="31"/>
      <c r="M9" s="31" t="s">
        <v>584</v>
      </c>
    </row>
    <row r="10" spans="1:13" ht="53.1" customHeight="1" x14ac:dyDescent="0.25">
      <c r="A10" s="34">
        <v>3</v>
      </c>
      <c r="B10" s="27" t="s">
        <v>720</v>
      </c>
      <c r="C10" s="34" t="s">
        <v>672</v>
      </c>
      <c r="D10" s="27" t="s">
        <v>672</v>
      </c>
      <c r="E10" s="27" t="s">
        <v>409</v>
      </c>
      <c r="F10" s="27" t="s">
        <v>410</v>
      </c>
      <c r="G10" s="27" t="s">
        <v>621</v>
      </c>
      <c r="H10" s="29" t="s">
        <v>663</v>
      </c>
      <c r="I10" s="29" t="s">
        <v>721</v>
      </c>
      <c r="J10" s="29" t="s">
        <v>722</v>
      </c>
      <c r="K10" s="31"/>
      <c r="L10" s="31"/>
      <c r="M10" s="31" t="s">
        <v>584</v>
      </c>
    </row>
    <row r="11" spans="1:13" ht="53.1" customHeight="1" x14ac:dyDescent="0.25">
      <c r="A11" s="34">
        <v>4</v>
      </c>
      <c r="B11" s="27" t="s">
        <v>245</v>
      </c>
      <c r="C11" s="34">
        <v>1</v>
      </c>
      <c r="D11" s="27" t="s">
        <v>620</v>
      </c>
      <c r="E11" s="27" t="s">
        <v>244</v>
      </c>
      <c r="F11" s="27" t="s">
        <v>245</v>
      </c>
      <c r="G11" s="27" t="s">
        <v>629</v>
      </c>
      <c r="H11" s="36" t="s">
        <v>667</v>
      </c>
      <c r="I11" s="36" t="s">
        <v>668</v>
      </c>
      <c r="J11" s="36" t="s">
        <v>669</v>
      </c>
      <c r="K11" s="31" t="s">
        <v>914</v>
      </c>
      <c r="L11" s="31"/>
      <c r="M11" s="31" t="s">
        <v>771</v>
      </c>
    </row>
    <row r="12" spans="1:13" ht="53.1" customHeight="1" x14ac:dyDescent="0.25">
      <c r="A12" s="34">
        <v>5</v>
      </c>
      <c r="B12" s="27" t="s">
        <v>689</v>
      </c>
      <c r="C12" s="34">
        <v>3</v>
      </c>
      <c r="D12" s="27" t="s">
        <v>620</v>
      </c>
      <c r="E12" s="27" t="s">
        <v>308</v>
      </c>
      <c r="F12" s="27" t="s">
        <v>309</v>
      </c>
      <c r="G12" s="27" t="s">
        <v>621</v>
      </c>
      <c r="H12" s="29" t="s">
        <v>663</v>
      </c>
      <c r="I12" s="29" t="s">
        <v>690</v>
      </c>
      <c r="J12" s="29" t="s">
        <v>691</v>
      </c>
      <c r="K12" s="31" t="s">
        <v>913</v>
      </c>
      <c r="L12" s="31"/>
      <c r="M12" s="31" t="s">
        <v>771</v>
      </c>
    </row>
    <row r="13" spans="1:13" ht="53.1" customHeight="1" x14ac:dyDescent="0.25">
      <c r="A13" s="34">
        <v>6</v>
      </c>
      <c r="B13" s="27" t="s">
        <v>708</v>
      </c>
      <c r="C13" s="34">
        <v>3</v>
      </c>
      <c r="D13" s="27" t="s">
        <v>620</v>
      </c>
      <c r="E13" s="27" t="s">
        <v>357</v>
      </c>
      <c r="F13" s="27" t="s">
        <v>707</v>
      </c>
      <c r="G13" s="27" t="s">
        <v>621</v>
      </c>
      <c r="H13" s="29" t="s">
        <v>698</v>
      </c>
      <c r="I13" s="29" t="s">
        <v>709</v>
      </c>
      <c r="J13" s="29" t="s">
        <v>710</v>
      </c>
      <c r="K13" s="31"/>
      <c r="L13" s="31"/>
      <c r="M13" s="31" t="s">
        <v>584</v>
      </c>
    </row>
    <row r="14" spans="1:13" ht="53.1" customHeight="1" x14ac:dyDescent="0.25">
      <c r="A14" s="34">
        <v>7</v>
      </c>
      <c r="B14" s="27" t="s">
        <v>697</v>
      </c>
      <c r="C14" s="34">
        <v>3</v>
      </c>
      <c r="D14" s="27" t="s">
        <v>620</v>
      </c>
      <c r="E14" s="27" t="s">
        <v>320</v>
      </c>
      <c r="F14" s="27" t="s">
        <v>321</v>
      </c>
      <c r="G14" s="27" t="s">
        <v>621</v>
      </c>
      <c r="H14" s="29" t="s">
        <v>698</v>
      </c>
      <c r="I14" s="29" t="s">
        <v>699</v>
      </c>
      <c r="J14" s="29" t="s">
        <v>700</v>
      </c>
      <c r="K14" s="31"/>
      <c r="L14" s="31"/>
      <c r="M14" s="31" t="s">
        <v>584</v>
      </c>
    </row>
    <row r="15" spans="1:13" ht="53.1" customHeight="1" x14ac:dyDescent="0.25">
      <c r="A15" s="34">
        <v>8</v>
      </c>
      <c r="B15" s="27" t="s">
        <v>686</v>
      </c>
      <c r="C15" s="34">
        <v>1</v>
      </c>
      <c r="D15" s="27" t="s">
        <v>620</v>
      </c>
      <c r="E15" s="27" t="s">
        <v>305</v>
      </c>
      <c r="F15" s="27" t="s">
        <v>306</v>
      </c>
      <c r="G15" s="27" t="s">
        <v>621</v>
      </c>
      <c r="H15" s="29" t="s">
        <v>663</v>
      </c>
      <c r="I15" s="29" t="s">
        <v>687</v>
      </c>
      <c r="J15" s="29" t="s">
        <v>688</v>
      </c>
      <c r="K15" s="31"/>
      <c r="L15" s="31"/>
      <c r="M15" s="31" t="s">
        <v>584</v>
      </c>
    </row>
    <row r="16" spans="1:13" ht="53.1" customHeight="1" x14ac:dyDescent="0.25">
      <c r="A16" s="34">
        <v>9</v>
      </c>
      <c r="B16" s="27" t="s">
        <v>648</v>
      </c>
      <c r="C16" s="34">
        <v>1</v>
      </c>
      <c r="D16" s="27" t="s">
        <v>620</v>
      </c>
      <c r="E16" s="27" t="s">
        <v>175</v>
      </c>
      <c r="F16" s="27" t="s">
        <v>176</v>
      </c>
      <c r="G16" s="27" t="s">
        <v>621</v>
      </c>
      <c r="H16" s="36" t="s">
        <v>640</v>
      </c>
      <c r="I16" s="36" t="s">
        <v>649</v>
      </c>
      <c r="J16" s="36" t="s">
        <v>650</v>
      </c>
      <c r="K16" s="31"/>
      <c r="L16" s="31"/>
      <c r="M16" s="31" t="s">
        <v>584</v>
      </c>
    </row>
    <row r="17" spans="1:13" ht="53.1" customHeight="1" x14ac:dyDescent="0.25">
      <c r="A17" s="34">
        <v>10</v>
      </c>
      <c r="B17" s="27" t="s">
        <v>639</v>
      </c>
      <c r="C17" s="34">
        <v>1</v>
      </c>
      <c r="D17" s="27" t="s">
        <v>620</v>
      </c>
      <c r="E17" s="27" t="s">
        <v>158</v>
      </c>
      <c r="F17" s="27" t="s">
        <v>159</v>
      </c>
      <c r="G17" s="27" t="s">
        <v>621</v>
      </c>
      <c r="H17" s="29" t="s">
        <v>640</v>
      </c>
      <c r="I17" s="29" t="s">
        <v>641</v>
      </c>
      <c r="J17" s="29" t="s">
        <v>642</v>
      </c>
      <c r="K17" s="31"/>
      <c r="L17" s="31"/>
      <c r="M17" s="31" t="s">
        <v>584</v>
      </c>
    </row>
    <row r="18" spans="1:13" ht="53.1" customHeight="1" x14ac:dyDescent="0.25">
      <c r="A18" s="34">
        <v>11</v>
      </c>
      <c r="B18" s="27" t="s">
        <v>680</v>
      </c>
      <c r="C18" s="34">
        <v>1</v>
      </c>
      <c r="D18" s="27" t="s">
        <v>620</v>
      </c>
      <c r="E18" s="27" t="s">
        <v>282</v>
      </c>
      <c r="F18" s="27" t="s">
        <v>283</v>
      </c>
      <c r="G18" s="27" t="s">
        <v>621</v>
      </c>
      <c r="H18" s="36" t="s">
        <v>681</v>
      </c>
      <c r="I18" s="36" t="s">
        <v>682</v>
      </c>
      <c r="J18" s="36" t="s">
        <v>683</v>
      </c>
      <c r="K18" s="31"/>
      <c r="L18" s="31"/>
      <c r="M18" s="31" t="s">
        <v>584</v>
      </c>
    </row>
    <row r="19" spans="1:13" ht="53.1" customHeight="1" x14ac:dyDescent="0.25">
      <c r="A19" s="34">
        <v>12</v>
      </c>
      <c r="B19" s="27" t="s">
        <v>662</v>
      </c>
      <c r="C19" s="34">
        <v>1</v>
      </c>
      <c r="D19" s="27" t="s">
        <v>620</v>
      </c>
      <c r="E19" s="27" t="s">
        <v>230</v>
      </c>
      <c r="F19" s="27" t="s">
        <v>661</v>
      </c>
      <c r="G19" s="27" t="s">
        <v>621</v>
      </c>
      <c r="H19" s="29" t="s">
        <v>663</v>
      </c>
      <c r="I19" s="29" t="s">
        <v>664</v>
      </c>
      <c r="J19" s="29" t="s">
        <v>665</v>
      </c>
      <c r="K19" s="31"/>
      <c r="L19" s="31"/>
      <c r="M19" s="31" t="s">
        <v>584</v>
      </c>
    </row>
    <row r="20" spans="1:13" ht="53.1" customHeight="1" x14ac:dyDescent="0.25">
      <c r="A20" s="34">
        <v>13</v>
      </c>
      <c r="B20" s="27" t="s">
        <v>820</v>
      </c>
      <c r="C20" s="34">
        <v>2</v>
      </c>
      <c r="D20" s="27" t="s">
        <v>620</v>
      </c>
      <c r="E20" s="27" t="s">
        <v>821</v>
      </c>
      <c r="F20" s="27" t="s">
        <v>822</v>
      </c>
      <c r="G20" s="27" t="s">
        <v>823</v>
      </c>
      <c r="H20" s="36" t="s">
        <v>824</v>
      </c>
      <c r="I20" s="36" t="s">
        <v>825</v>
      </c>
      <c r="J20" s="36" t="s">
        <v>826</v>
      </c>
      <c r="K20" s="31" t="s">
        <v>915</v>
      </c>
      <c r="L20" s="31"/>
      <c r="M20" s="31" t="s">
        <v>771</v>
      </c>
    </row>
    <row r="21" spans="1:13" ht="53.1" customHeight="1" x14ac:dyDescent="0.25">
      <c r="A21" s="34">
        <v>14</v>
      </c>
      <c r="B21" s="27" t="s">
        <v>634</v>
      </c>
      <c r="C21" s="34">
        <v>3</v>
      </c>
      <c r="D21" s="27" t="s">
        <v>620</v>
      </c>
      <c r="E21" s="27" t="s">
        <v>149</v>
      </c>
      <c r="F21" s="27" t="s">
        <v>150</v>
      </c>
      <c r="G21" s="27" t="s">
        <v>621</v>
      </c>
      <c r="H21" s="29" t="s">
        <v>635</v>
      </c>
      <c r="I21" s="29" t="s">
        <v>636</v>
      </c>
      <c r="J21" s="29" t="s">
        <v>637</v>
      </c>
      <c r="K21" s="31"/>
      <c r="L21" s="31"/>
      <c r="M21" s="31" t="s">
        <v>584</v>
      </c>
    </row>
    <row r="22" spans="1:13" ht="53.1" customHeight="1" x14ac:dyDescent="0.25">
      <c r="A22" s="34">
        <v>15</v>
      </c>
      <c r="B22" s="27" t="s">
        <v>94</v>
      </c>
      <c r="C22" s="34">
        <v>5</v>
      </c>
      <c r="D22" s="27" t="s">
        <v>610</v>
      </c>
      <c r="E22" s="27" t="s">
        <v>93</v>
      </c>
      <c r="F22" s="27" t="s">
        <v>94</v>
      </c>
      <c r="G22" s="27" t="s">
        <v>585</v>
      </c>
      <c r="H22" s="36" t="s">
        <v>611</v>
      </c>
      <c r="I22" s="36" t="s">
        <v>612</v>
      </c>
      <c r="J22" s="36" t="s">
        <v>613</v>
      </c>
      <c r="K22" s="31" t="s">
        <v>897</v>
      </c>
      <c r="L22" s="31"/>
      <c r="M22" s="31" t="s">
        <v>771</v>
      </c>
    </row>
  </sheetData>
  <mergeCells count="3">
    <mergeCell ref="A1:M1"/>
    <mergeCell ref="A2:M2"/>
    <mergeCell ref="A3:M3"/>
  </mergeCells>
  <dataValidations count="1">
    <dataValidation type="list" sqref="M8:M22" xr:uid="{00000000-0002-0000-0300-000000000000}">
      <formula1>"Belum direview,Disetujui,Perlu revisi,Tanya klinik,Tidak ada di master"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tabSelected="1" topLeftCell="D1" zoomScale="70" zoomScaleNormal="70" workbookViewId="0">
      <pane ySplit="4" topLeftCell="A14" activePane="bottomLeft" state="frozen"/>
      <selection pane="bottomLeft" activeCell="H19" sqref="H19"/>
    </sheetView>
  </sheetViews>
  <sheetFormatPr defaultRowHeight="15" x14ac:dyDescent="0.25"/>
  <cols>
    <col min="1" max="1" width="7" style="35" customWidth="1"/>
    <col min="2" max="2" width="13" customWidth="1"/>
    <col min="3" max="3" width="36" customWidth="1"/>
    <col min="4" max="4" width="75" customWidth="1"/>
    <col min="5" max="5" width="70" customWidth="1"/>
    <col min="6" max="6" width="56" customWidth="1"/>
    <col min="7" max="7" width="55" customWidth="1"/>
    <col min="8" max="8" width="24" customWidth="1"/>
  </cols>
  <sheetData>
    <row r="1" spans="1:8" ht="36" customHeight="1" x14ac:dyDescent="0.3">
      <c r="A1" s="67" t="s">
        <v>827</v>
      </c>
      <c r="B1" s="67"/>
      <c r="C1" s="67"/>
      <c r="D1" s="67"/>
      <c r="E1" s="67"/>
      <c r="F1" s="67"/>
      <c r="G1" s="67"/>
      <c r="H1" s="67"/>
    </row>
    <row r="2" spans="1:8" ht="27.95" customHeight="1" x14ac:dyDescent="0.25">
      <c r="A2" s="65" t="s">
        <v>828</v>
      </c>
      <c r="B2" s="65"/>
      <c r="C2" s="65"/>
      <c r="D2" s="65"/>
      <c r="E2" s="65"/>
      <c r="F2" s="65"/>
      <c r="G2" s="65"/>
      <c r="H2" s="65"/>
    </row>
    <row r="4" spans="1:8" ht="38.1" customHeight="1" x14ac:dyDescent="0.25">
      <c r="A4" s="33" t="s">
        <v>548</v>
      </c>
      <c r="B4" s="26" t="s">
        <v>829</v>
      </c>
      <c r="C4" s="26" t="s">
        <v>830</v>
      </c>
      <c r="D4" s="26" t="s">
        <v>831</v>
      </c>
      <c r="E4" s="26" t="s">
        <v>832</v>
      </c>
      <c r="F4" s="26" t="s">
        <v>833</v>
      </c>
      <c r="G4" s="26" t="s">
        <v>834</v>
      </c>
      <c r="H4" s="26" t="s">
        <v>835</v>
      </c>
    </row>
    <row r="5" spans="1:8" ht="68.099999999999994" customHeight="1" x14ac:dyDescent="0.25">
      <c r="A5" s="34">
        <v>1</v>
      </c>
      <c r="B5" s="28" t="s">
        <v>836</v>
      </c>
      <c r="C5" s="29" t="s">
        <v>837</v>
      </c>
      <c r="D5" s="29" t="s">
        <v>838</v>
      </c>
      <c r="E5" s="29" t="s">
        <v>839</v>
      </c>
      <c r="F5" s="29" t="s">
        <v>840</v>
      </c>
      <c r="G5" s="30" t="s">
        <v>916</v>
      </c>
      <c r="H5" s="31" t="s">
        <v>917</v>
      </c>
    </row>
    <row r="6" spans="1:8" ht="68.099999999999994" customHeight="1" x14ac:dyDescent="0.25">
      <c r="A6" s="34">
        <v>2</v>
      </c>
      <c r="B6" s="28" t="s">
        <v>836</v>
      </c>
      <c r="C6" s="29" t="s">
        <v>837</v>
      </c>
      <c r="D6" s="29" t="s">
        <v>841</v>
      </c>
      <c r="E6" s="29" t="s">
        <v>842</v>
      </c>
      <c r="F6" s="29" t="s">
        <v>843</v>
      </c>
      <c r="G6" s="30" t="s">
        <v>918</v>
      </c>
      <c r="H6" s="31" t="s">
        <v>917</v>
      </c>
    </row>
    <row r="7" spans="1:8" ht="68.099999999999994" customHeight="1" x14ac:dyDescent="0.25">
      <c r="A7" s="34">
        <v>3</v>
      </c>
      <c r="B7" s="28" t="s">
        <v>836</v>
      </c>
      <c r="C7" s="29" t="s">
        <v>844</v>
      </c>
      <c r="D7" s="29" t="s">
        <v>845</v>
      </c>
      <c r="E7" s="29" t="s">
        <v>846</v>
      </c>
      <c r="F7" s="29" t="s">
        <v>847</v>
      </c>
      <c r="G7" s="30" t="s">
        <v>919</v>
      </c>
      <c r="H7" s="31" t="s">
        <v>917</v>
      </c>
    </row>
    <row r="8" spans="1:8" ht="68.099999999999994" customHeight="1" x14ac:dyDescent="0.25">
      <c r="A8" s="34">
        <v>4</v>
      </c>
      <c r="B8" s="28" t="s">
        <v>836</v>
      </c>
      <c r="C8" s="29" t="s">
        <v>245</v>
      </c>
      <c r="D8" s="29" t="s">
        <v>848</v>
      </c>
      <c r="E8" s="29" t="s">
        <v>849</v>
      </c>
      <c r="F8" s="29" t="s">
        <v>850</v>
      </c>
      <c r="G8" s="30" t="s">
        <v>920</v>
      </c>
      <c r="H8" s="31" t="s">
        <v>917</v>
      </c>
    </row>
    <row r="9" spans="1:8" ht="68.099999999999994" customHeight="1" x14ac:dyDescent="0.25">
      <c r="A9" s="34">
        <v>5</v>
      </c>
      <c r="B9" s="28" t="s">
        <v>836</v>
      </c>
      <c r="C9" s="29" t="s">
        <v>680</v>
      </c>
      <c r="D9" s="29" t="s">
        <v>851</v>
      </c>
      <c r="E9" s="29" t="s">
        <v>852</v>
      </c>
      <c r="F9" s="29" t="s">
        <v>853</v>
      </c>
      <c r="G9" s="30" t="s">
        <v>921</v>
      </c>
      <c r="H9" s="31" t="s">
        <v>917</v>
      </c>
    </row>
    <row r="10" spans="1:8" ht="68.099999999999994" customHeight="1" x14ac:dyDescent="0.25">
      <c r="A10" s="34">
        <v>6</v>
      </c>
      <c r="B10" s="28" t="s">
        <v>836</v>
      </c>
      <c r="C10" s="29" t="s">
        <v>820</v>
      </c>
      <c r="D10" s="29" t="s">
        <v>854</v>
      </c>
      <c r="E10" s="29" t="s">
        <v>855</v>
      </c>
      <c r="F10" s="29" t="s">
        <v>856</v>
      </c>
      <c r="G10" s="30" t="s">
        <v>922</v>
      </c>
      <c r="H10" s="31" t="s">
        <v>917</v>
      </c>
    </row>
    <row r="11" spans="1:8" ht="68.099999999999994" customHeight="1" x14ac:dyDescent="0.25">
      <c r="A11" s="34">
        <v>7</v>
      </c>
      <c r="B11" s="28" t="s">
        <v>836</v>
      </c>
      <c r="C11" s="29" t="s">
        <v>94</v>
      </c>
      <c r="D11" s="29" t="s">
        <v>857</v>
      </c>
      <c r="E11" s="29" t="s">
        <v>858</v>
      </c>
      <c r="F11" s="29" t="s">
        <v>859</v>
      </c>
      <c r="G11" s="30" t="s">
        <v>897</v>
      </c>
      <c r="H11" s="31" t="s">
        <v>917</v>
      </c>
    </row>
    <row r="12" spans="1:8" ht="68.099999999999994" customHeight="1" x14ac:dyDescent="0.25">
      <c r="A12" s="34">
        <v>8</v>
      </c>
      <c r="B12" s="28" t="s">
        <v>836</v>
      </c>
      <c r="C12" s="29" t="s">
        <v>648</v>
      </c>
      <c r="D12" s="29" t="s">
        <v>860</v>
      </c>
      <c r="E12" s="29" t="s">
        <v>861</v>
      </c>
      <c r="F12" s="29" t="s">
        <v>862</v>
      </c>
      <c r="G12" s="30" t="s">
        <v>923</v>
      </c>
      <c r="H12" s="31" t="s">
        <v>917</v>
      </c>
    </row>
    <row r="13" spans="1:8" ht="68.099999999999994" customHeight="1" x14ac:dyDescent="0.25">
      <c r="A13" s="34">
        <v>9</v>
      </c>
      <c r="B13" s="28" t="s">
        <v>836</v>
      </c>
      <c r="C13" s="29" t="s">
        <v>639</v>
      </c>
      <c r="D13" s="29" t="s">
        <v>863</v>
      </c>
      <c r="E13" s="29" t="s">
        <v>864</v>
      </c>
      <c r="F13" s="29" t="s">
        <v>865</v>
      </c>
      <c r="G13" s="30" t="s">
        <v>923</v>
      </c>
      <c r="H13" s="31" t="s">
        <v>917</v>
      </c>
    </row>
    <row r="14" spans="1:8" ht="68.099999999999994" customHeight="1" x14ac:dyDescent="0.25">
      <c r="A14" s="34">
        <v>10</v>
      </c>
      <c r="B14" s="32" t="s">
        <v>866</v>
      </c>
      <c r="C14" s="29" t="s">
        <v>867</v>
      </c>
      <c r="D14" s="29" t="s">
        <v>868</v>
      </c>
      <c r="E14" s="29" t="s">
        <v>869</v>
      </c>
      <c r="F14" s="29" t="s">
        <v>870</v>
      </c>
      <c r="G14" s="30" t="s">
        <v>924</v>
      </c>
      <c r="H14" s="31" t="s">
        <v>917</v>
      </c>
    </row>
    <row r="15" spans="1:8" ht="68.099999999999994" customHeight="1" x14ac:dyDescent="0.25">
      <c r="A15" s="34">
        <v>11</v>
      </c>
      <c r="B15" s="28" t="s">
        <v>836</v>
      </c>
      <c r="C15" s="29" t="s">
        <v>871</v>
      </c>
      <c r="D15" s="29" t="s">
        <v>872</v>
      </c>
      <c r="E15" s="29" t="s">
        <v>873</v>
      </c>
      <c r="F15" s="29" t="s">
        <v>874</v>
      </c>
      <c r="G15" s="30" t="s">
        <v>925</v>
      </c>
      <c r="H15" s="31" t="s">
        <v>917</v>
      </c>
    </row>
    <row r="16" spans="1:8" ht="68.099999999999994" customHeight="1" x14ac:dyDescent="0.25">
      <c r="A16" s="34">
        <v>12</v>
      </c>
      <c r="B16" s="32" t="s">
        <v>866</v>
      </c>
      <c r="C16" s="29" t="s">
        <v>875</v>
      </c>
      <c r="D16" s="29" t="s">
        <v>876</v>
      </c>
      <c r="E16" s="29" t="s">
        <v>877</v>
      </c>
      <c r="F16" s="29" t="s">
        <v>878</v>
      </c>
      <c r="G16" s="30" t="s">
        <v>926</v>
      </c>
      <c r="H16" s="31" t="s">
        <v>917</v>
      </c>
    </row>
    <row r="17" spans="1:8" ht="68.099999999999994" customHeight="1" x14ac:dyDescent="0.25">
      <c r="A17" s="34">
        <v>13</v>
      </c>
      <c r="B17" s="28" t="s">
        <v>836</v>
      </c>
      <c r="C17" s="29" t="s">
        <v>879</v>
      </c>
      <c r="D17" s="29" t="s">
        <v>880</v>
      </c>
      <c r="E17" s="29" t="s">
        <v>881</v>
      </c>
      <c r="F17" s="29" t="s">
        <v>882</v>
      </c>
      <c r="G17" s="30" t="s">
        <v>927</v>
      </c>
      <c r="H17" s="31" t="s">
        <v>917</v>
      </c>
    </row>
    <row r="18" spans="1:8" ht="68.099999999999994" customHeight="1" x14ac:dyDescent="0.25">
      <c r="A18" s="34">
        <v>14</v>
      </c>
      <c r="B18" s="32" t="s">
        <v>866</v>
      </c>
      <c r="C18" s="29" t="s">
        <v>883</v>
      </c>
      <c r="D18" s="29" t="s">
        <v>884</v>
      </c>
      <c r="E18" s="29" t="s">
        <v>885</v>
      </c>
      <c r="F18" s="29" t="s">
        <v>886</v>
      </c>
      <c r="G18" s="30" t="s">
        <v>929</v>
      </c>
      <c r="H18" s="31" t="s">
        <v>917</v>
      </c>
    </row>
    <row r="19" spans="1:8" ht="68.099999999999994" customHeight="1" x14ac:dyDescent="0.25">
      <c r="A19" s="34">
        <v>15</v>
      </c>
      <c r="B19" s="32" t="s">
        <v>866</v>
      </c>
      <c r="C19" s="29" t="s">
        <v>883</v>
      </c>
      <c r="D19" s="29" t="s">
        <v>887</v>
      </c>
      <c r="E19" s="29" t="s">
        <v>888</v>
      </c>
      <c r="F19" s="29" t="s">
        <v>889</v>
      </c>
      <c r="G19" s="30" t="s">
        <v>930</v>
      </c>
      <c r="H19" s="31" t="s">
        <v>917</v>
      </c>
    </row>
    <row r="20" spans="1:8" ht="68.099999999999994" customHeight="1" x14ac:dyDescent="0.25">
      <c r="A20" s="34">
        <v>16</v>
      </c>
      <c r="B20" s="32" t="s">
        <v>866</v>
      </c>
      <c r="C20" s="29" t="s">
        <v>883</v>
      </c>
      <c r="D20" s="29" t="s">
        <v>890</v>
      </c>
      <c r="E20" s="29" t="s">
        <v>891</v>
      </c>
      <c r="F20" s="29" t="s">
        <v>892</v>
      </c>
      <c r="G20" s="30" t="s">
        <v>928</v>
      </c>
      <c r="H20" s="31" t="s">
        <v>917</v>
      </c>
    </row>
  </sheetData>
  <mergeCells count="2">
    <mergeCell ref="A1:H1"/>
    <mergeCell ref="A2:H2"/>
  </mergeCells>
  <dataValidations count="1">
    <dataValidation type="list" sqref="H5:H20" xr:uid="{00000000-0002-0000-0400-000000000000}">
      <formula1>"Belum ditanyakan,Sudah ditanyakan,Terjawab,Perlu tindak lanjut,Tidak berlaku"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Review Satuan</vt:lpstr>
      <vt:lpstr>Panduan Review</vt:lpstr>
      <vt:lpstr>Pencocokan Laporan WA</vt:lpstr>
      <vt:lpstr>Checklist Klarifikasi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2026-10-08T23:35:47Z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2026-10-08T16:04:11Z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04b406c7-c455-4052-9b8a-dd65e0ae6f9f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